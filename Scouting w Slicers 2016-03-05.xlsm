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3BBC38B-C2DA-FC69-06AC-9F67D96B6324}"/>
  <workbookPr codeName="ThisWorkbook" hidePivotFieldList="1" defaultThemeVersion="153222"/>
  <mc:AlternateContent xmlns:mc="http://schemas.openxmlformats.org/markup-compatibility/2006">
    <mc:Choice Requires="x15">
      <x15ac:absPath xmlns:x15ac="http://schemas.microsoft.com/office/spreadsheetml/2010/11/ac" url="C:\Users\Public\git\GBC2016-master\"/>
    </mc:Choice>
  </mc:AlternateContent>
  <bookViews>
    <workbookView xWindow="0" yWindow="0" windowWidth="21600" windowHeight="10800" activeTab="4"/>
  </bookViews>
  <sheets>
    <sheet name="Weightings" sheetId="4" r:id="rId1"/>
    <sheet name="Slicers" sheetId="5" r:id="rId2"/>
    <sheet name="Sheet5" sheetId="6" r:id="rId3"/>
    <sheet name="Data" sheetId="1" r:id="rId4"/>
    <sheet name="CIR Info" sheetId="7" r:id="rId5"/>
    <sheet name="Match Basics" sheetId="8" r:id="rId6"/>
    <sheet name="import fields" sheetId="10" r:id="rId7"/>
  </sheets>
  <externalReferences>
    <externalReference r:id="rId8"/>
  </externalReferences>
  <definedNames>
    <definedName name="_xlnm.Print_Area" localSheetId="5">'Match Basics'!$A$1:$J$23</definedName>
    <definedName name="Slicer_Human_load">#N/A</definedName>
    <definedName name="Slicer_match_type1">#N/A</definedName>
    <definedName name="Slicer_starting_ball">#N/A</definedName>
  </definedNames>
  <calcPr calcId="162913"/>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 i="8" l="1"/>
  <c r="H23" i="8" s="1"/>
  <c r="G5" i="8"/>
  <c r="G20" i="8" s="1"/>
  <c r="F5" i="8"/>
  <c r="F22" i="8" s="1"/>
  <c r="E5" i="8"/>
  <c r="E22" i="8" s="1"/>
  <c r="D5" i="8"/>
  <c r="D23" i="8" s="1"/>
  <c r="C5" i="8"/>
  <c r="C20" i="8" s="1"/>
  <c r="A5" i="8"/>
  <c r="E13" i="8" l="1"/>
  <c r="E21" i="8"/>
  <c r="E6" i="8"/>
  <c r="E15" i="8"/>
  <c r="E23" i="8"/>
  <c r="E9" i="8"/>
  <c r="E17" i="8"/>
  <c r="E11" i="8"/>
  <c r="E19" i="8"/>
  <c r="E8" i="8" s="1"/>
  <c r="C12" i="8"/>
  <c r="G12" i="8"/>
  <c r="G18" i="8"/>
  <c r="C22" i="8"/>
  <c r="G22" i="8"/>
  <c r="F6" i="8"/>
  <c r="F9" i="8"/>
  <c r="D10" i="8"/>
  <c r="H10" i="8"/>
  <c r="F11" i="8"/>
  <c r="D12" i="8"/>
  <c r="H12" i="8"/>
  <c r="F13" i="8"/>
  <c r="D14" i="8"/>
  <c r="H14" i="8"/>
  <c r="F15" i="8"/>
  <c r="D16" i="8"/>
  <c r="H16" i="8"/>
  <c r="F17" i="8"/>
  <c r="D18" i="8"/>
  <c r="H18" i="8"/>
  <c r="F19" i="8"/>
  <c r="F8" i="8" s="1"/>
  <c r="D20" i="8"/>
  <c r="H20" i="8"/>
  <c r="F21" i="8"/>
  <c r="D22" i="8"/>
  <c r="H22" i="8"/>
  <c r="F23" i="8"/>
  <c r="C10" i="8"/>
  <c r="C14" i="8"/>
  <c r="G14" i="8"/>
  <c r="C16" i="8"/>
  <c r="G16" i="8"/>
  <c r="C18" i="8"/>
  <c r="C6" i="8"/>
  <c r="G6" i="8"/>
  <c r="C9" i="8"/>
  <c r="G9" i="8"/>
  <c r="E10" i="8"/>
  <c r="C11" i="8"/>
  <c r="G11" i="8"/>
  <c r="E12" i="8"/>
  <c r="C13" i="8"/>
  <c r="G13" i="8"/>
  <c r="E14" i="8"/>
  <c r="C15" i="8"/>
  <c r="G15" i="8"/>
  <c r="E16" i="8"/>
  <c r="C17" i="8"/>
  <c r="G17" i="8"/>
  <c r="E18" i="8"/>
  <c r="C19" i="8"/>
  <c r="C8" i="8" s="1"/>
  <c r="G19" i="8"/>
  <c r="G8" i="8" s="1"/>
  <c r="E20" i="8"/>
  <c r="C21" i="8"/>
  <c r="G21" i="8"/>
  <c r="C23" i="8"/>
  <c r="G23" i="8"/>
  <c r="G10" i="8"/>
  <c r="D6" i="8"/>
  <c r="H6" i="8"/>
  <c r="D9" i="8"/>
  <c r="H9" i="8"/>
  <c r="F10" i="8"/>
  <c r="D11" i="8"/>
  <c r="H11" i="8"/>
  <c r="F12" i="8"/>
  <c r="D13" i="8"/>
  <c r="H13" i="8"/>
  <c r="F14" i="8"/>
  <c r="D15" i="8"/>
  <c r="H15" i="8"/>
  <c r="F16" i="8"/>
  <c r="D17" i="8"/>
  <c r="H17" i="8"/>
  <c r="F18" i="8"/>
  <c r="D19" i="8"/>
  <c r="D8" i="8" s="1"/>
  <c r="H19" i="8"/>
  <c r="H8" i="8" s="1"/>
  <c r="F20" i="8"/>
  <c r="D21" i="8"/>
  <c r="H21" i="8"/>
  <c r="E7" i="8" l="1"/>
  <c r="H7" i="8"/>
  <c r="F7" i="8"/>
  <c r="D7" i="8"/>
  <c r="G7" i="8"/>
  <c r="J7" i="8" s="1"/>
  <c r="C7" i="8"/>
  <c r="I7" i="8" s="1"/>
  <c r="B5" i="4" l="1"/>
  <c r="B6" i="4"/>
  <c r="B7" i="4"/>
  <c r="B8" i="4"/>
  <c r="B4" i="4"/>
  <c r="B3" i="1"/>
</calcChain>
</file>

<file path=xl/comments1.xml><?xml version="1.0" encoding="utf-8"?>
<comments xmlns="http://schemas.openxmlformats.org/spreadsheetml/2006/main">
  <authors>
    <author>delante</author>
  </authors>
  <commentList>
    <comment ref="B3" authorId="0" shapeId="0">
      <text>
        <r>
          <rPr>
            <b/>
            <sz val="9"/>
            <color indexed="81"/>
            <rFont val="Tahoma"/>
            <family val="2"/>
          </rPr>
          <t>tele offense:
(</t>
        </r>
        <r>
          <rPr>
            <sz val="9"/>
            <color indexed="81"/>
            <rFont val="Tahoma"/>
            <family val="2"/>
          </rPr>
          <t xml:space="preserve">pickup weighting * driving score/3)+ 
</t>
        </r>
      </text>
    </comment>
  </commentList>
</comments>
</file>

<file path=xl/sharedStrings.xml><?xml version="1.0" encoding="utf-8"?>
<sst xmlns="http://schemas.openxmlformats.org/spreadsheetml/2006/main" count="658" uniqueCount="349">
  <si>
    <t>Qualification</t>
  </si>
  <si>
    <t>F</t>
  </si>
  <si>
    <t>T</t>
  </si>
  <si>
    <t>Row Labels</t>
  </si>
  <si>
    <t>Grand Total</t>
  </si>
  <si>
    <t>Match</t>
  </si>
  <si>
    <t>Start Time</t>
  </si>
  <si>
    <t>Red 1</t>
  </si>
  <si>
    <t>Red 2</t>
  </si>
  <si>
    <t>Red 3</t>
  </si>
  <si>
    <t>Blue 1</t>
  </si>
  <si>
    <t>Blue 2</t>
  </si>
  <si>
    <t>Blue 3</t>
  </si>
  <si>
    <t>Red Final</t>
  </si>
  <si>
    <t>Blue Final</t>
  </si>
  <si>
    <t xml:space="preserve">Count of tele pts display                   </t>
  </si>
  <si>
    <t>Auto</t>
  </si>
  <si>
    <t>Tele Offense</t>
  </si>
  <si>
    <t>Tele Defense</t>
  </si>
  <si>
    <t>End Game</t>
  </si>
  <si>
    <t>Human Player</t>
  </si>
  <si>
    <t>Pick 1 Rank</t>
  </si>
  <si>
    <t>Pick2 Rank</t>
  </si>
  <si>
    <t>Nick</t>
  </si>
  <si>
    <t>LowBar</t>
  </si>
  <si>
    <t>That's one good robot</t>
  </si>
  <si>
    <t>DroveToDefense</t>
  </si>
  <si>
    <t>AutoDefenseCrossed</t>
  </si>
  <si>
    <t>Comments</t>
  </si>
  <si>
    <t>Central Illinois Regional Registered Teams</t>
  </si>
  <si>
    <t>2016 Qualification Matches</t>
  </si>
  <si>
    <t>2016 Rankings</t>
  </si>
  <si>
    <t>Team Number</t>
  </si>
  <si>
    <t>Team Name</t>
  </si>
  <si>
    <t>Location </t>
  </si>
  <si>
    <t>Rank</t>
  </si>
  <si>
    <t>Team</t>
  </si>
  <si>
    <t>Ranking Score</t>
  </si>
  <si>
    <t>Scale/Challenge</t>
  </si>
  <si>
    <t>Goals</t>
  </si>
  <si>
    <t>Defense</t>
  </si>
  <si>
    <t>W-L-T</t>
  </si>
  <si>
    <t>Matches Played</t>
  </si>
  <si>
    <t>MetalHeads</t>
  </si>
  <si>
    <t>Freeport, Illinois</t>
  </si>
  <si>
    <t>Fri 2/26 - 9:00 AM</t>
  </si>
  <si>
    <t>8 - 0 - 0</t>
  </si>
  <si>
    <t>NEW Apple Corps</t>
  </si>
  <si>
    <t>Appleton, Wisconsin</t>
  </si>
  <si>
    <t>Fri 2/26 - 9:07 AM</t>
  </si>
  <si>
    <t>WildStang</t>
  </si>
  <si>
    <t>Arlington Heights, Illinois</t>
  </si>
  <si>
    <t>Fri 2/26 - 9:14 AM</t>
  </si>
  <si>
    <t>Thunder Robotics</t>
  </si>
  <si>
    <t>Hatton/Northwood, North Dakota</t>
  </si>
  <si>
    <t>Fri 2/26 - 9:21 AM</t>
  </si>
  <si>
    <t>Thunderhawks</t>
  </si>
  <si>
    <t>Liberty Township, Ohio</t>
  </si>
  <si>
    <t>Fri 2/26 - 9:28 AM</t>
  </si>
  <si>
    <t>Oriole Assault</t>
  </si>
  <si>
    <t>Hartford, Wisconsin</t>
  </si>
  <si>
    <t>Fri 2/26 - 9:35 AM</t>
  </si>
  <si>
    <t>Channel Cats</t>
  </si>
  <si>
    <t>O'Fallon, Missouri</t>
  </si>
  <si>
    <t>Fri 2/26 - 9:42 AM</t>
  </si>
  <si>
    <t>Winnovation</t>
  </si>
  <si>
    <t>Winnebago, Illinois</t>
  </si>
  <si>
    <t>Fri 2/26 - 9:52 AM</t>
  </si>
  <si>
    <t>Hilltoppers</t>
  </si>
  <si>
    <t>Milwaukee, Wisconsin</t>
  </si>
  <si>
    <t>Fri 2/26 - 9:59 AM</t>
  </si>
  <si>
    <t>Robot Casserole</t>
  </si>
  <si>
    <t>Peoria, Illinois</t>
  </si>
  <si>
    <t>Fri 2/26 - 10:06 AM</t>
  </si>
  <si>
    <t>Argos</t>
  </si>
  <si>
    <t>Fri 2/26 - 10:13 AM</t>
  </si>
  <si>
    <t>Electric Eagles</t>
  </si>
  <si>
    <t>Chicago, Illinois</t>
  </si>
  <si>
    <t>Fri 2/26 - 10:20 AM</t>
  </si>
  <si>
    <t>Titan Robotics</t>
  </si>
  <si>
    <t>Aurora, Illinois</t>
  </si>
  <si>
    <t>Fri 2/26 - 10:27 AM</t>
  </si>
  <si>
    <t>Rockford Robotics</t>
  </si>
  <si>
    <t>Rockford, Illinois</t>
  </si>
  <si>
    <t>Fri 2/26 - 10:34 AM</t>
  </si>
  <si>
    <t>DERT</t>
  </si>
  <si>
    <t>Dunlap, Illinois</t>
  </si>
  <si>
    <t>Fri 2/26 - 10:41 AM</t>
  </si>
  <si>
    <t>Icarus</t>
  </si>
  <si>
    <t>Fri 2/26 - 10:48 AM</t>
  </si>
  <si>
    <t>KING TeC</t>
  </si>
  <si>
    <t>Prior Lake/Savage, Minnesota</t>
  </si>
  <si>
    <t>Fri 2/26 - 10:55 AM</t>
  </si>
  <si>
    <t>Blue Twilight</t>
  </si>
  <si>
    <t>Eagan, Minnesota</t>
  </si>
  <si>
    <t>Fri 2/26 - 11:05 AM</t>
  </si>
  <si>
    <t>Bearbotics</t>
  </si>
  <si>
    <t>Lake Zurich, Illinois</t>
  </si>
  <si>
    <t>Fri 2/26 - 11:12 AM</t>
  </si>
  <si>
    <t>Roboteers</t>
  </si>
  <si>
    <t>Tremont, Illinois</t>
  </si>
  <si>
    <t>Fri 2/26 - 11:19 AM</t>
  </si>
  <si>
    <t>Order 2 Chaos</t>
  </si>
  <si>
    <t>Batavia, Illinois</t>
  </si>
  <si>
    <t>Fri 2/26 - 11:26 AM</t>
  </si>
  <si>
    <t>Iron Wolves</t>
  </si>
  <si>
    <t>Fri 2/26 - 11:33 AM</t>
  </si>
  <si>
    <t>Flaming Monkeys 4-H Robotics Club</t>
  </si>
  <si>
    <t>Belvidere, Illinois</t>
  </si>
  <si>
    <t>Fri 2/26 - 11:40 AM</t>
  </si>
  <si>
    <t>Up Next</t>
  </si>
  <si>
    <t>Kansas City, Missouri</t>
  </si>
  <si>
    <t>Fri 2/26 - 11:47 AM</t>
  </si>
  <si>
    <t>igKnightion</t>
  </si>
  <si>
    <t>Onalaska, Wisconsin</t>
  </si>
  <si>
    <t>Fri 2/26 - 11:54 AM</t>
  </si>
  <si>
    <t>Ctrl-Z</t>
  </si>
  <si>
    <t>Champaign, Illinois</t>
  </si>
  <si>
    <t>Fri 2/26 - 1:01 PM</t>
  </si>
  <si>
    <t>MARS/ WARS</t>
  </si>
  <si>
    <t>Metamora, Illinois</t>
  </si>
  <si>
    <t>Fri 2/26 - 1:08 PM</t>
  </si>
  <si>
    <t>Ninjaneers</t>
  </si>
  <si>
    <t>Springfield, Illinois</t>
  </si>
  <si>
    <t>Fri 2/26 - 1:18 PM</t>
  </si>
  <si>
    <t>Techno Ferrets</t>
  </si>
  <si>
    <t>Galesburg, Illinois</t>
  </si>
  <si>
    <t>Fri 2/26 - 1:25 PM</t>
  </si>
  <si>
    <t>MetalCow Robotics</t>
  </si>
  <si>
    <t>Bloomington, Illinois</t>
  </si>
  <si>
    <t>Fri 2/26 - 1:32 PM</t>
  </si>
  <si>
    <t>Trident Robotics</t>
  </si>
  <si>
    <t>Gurnee, Illinois</t>
  </si>
  <si>
    <t>Fri 2/26 - 1:39 PM</t>
  </si>
  <si>
    <t>SUL Abe-Ro-Bots</t>
  </si>
  <si>
    <t>Springfield , Illinois</t>
  </si>
  <si>
    <t>Fri 2/26 - 1:46 PM</t>
  </si>
  <si>
    <t>X-Machina</t>
  </si>
  <si>
    <t>Fri 2/26 - 1:53 PM</t>
  </si>
  <si>
    <t>Team ASAP</t>
  </si>
  <si>
    <t>Des Moines, Iowa</t>
  </si>
  <si>
    <t>Fri 2/26 - 2:00 PM</t>
  </si>
  <si>
    <t>Stateline Robotics</t>
  </si>
  <si>
    <t>Rockton, Illinois</t>
  </si>
  <si>
    <t>Fri 2/26 - 2:07 PM</t>
  </si>
  <si>
    <t>Axiom</t>
  </si>
  <si>
    <t>Fri 2/26 - 2:14 PM</t>
  </si>
  <si>
    <t>Mechanical Monarchy</t>
  </si>
  <si>
    <t>Washington, Illinois</t>
  </si>
  <si>
    <t>Fri 2/26 - 2:21 PM</t>
  </si>
  <si>
    <t>Shakopee Robotics</t>
  </si>
  <si>
    <t>Shakopee, Minnesota</t>
  </si>
  <si>
    <t>Fri 2/26 - 2:31 PM</t>
  </si>
  <si>
    <t>WolfByte</t>
  </si>
  <si>
    <t>Fri 2/26 - 2:38 PM</t>
  </si>
  <si>
    <t>Ironclad</t>
  </si>
  <si>
    <t>Bradley, Illinois</t>
  </si>
  <si>
    <t>Fri 2/26 - 2:45 PM</t>
  </si>
  <si>
    <t>Fri 2/26 - 2:52 PM</t>
  </si>
  <si>
    <t>Fri 2/26 - 2:59 PM</t>
  </si>
  <si>
    <t>Fri 2/26 - 3:06 PM</t>
  </si>
  <si>
    <t>Fri 2/26 - 3:13 PM</t>
  </si>
  <si>
    <t>Fri 2/26 - 3:20 PM</t>
  </si>
  <si>
    <t>Fri 2/26 - 3:27 PM</t>
  </si>
  <si>
    <t>Fri 2/26 - 3:34 PM</t>
  </si>
  <si>
    <t>Fri 2/26 - 3:44 PM</t>
  </si>
  <si>
    <t>Fri 2/26 - 3:51 PM</t>
  </si>
  <si>
    <t>Fri 2/26 - 3:58 PM</t>
  </si>
  <si>
    <t>Fri 2/26 - 4:05 PM</t>
  </si>
  <si>
    <t>Fri 2/26 - 4:12 PM</t>
  </si>
  <si>
    <t>Fri 2/26 - 4:19 PM</t>
  </si>
  <si>
    <t>Fri 2/26 - 4:26 PM</t>
  </si>
  <si>
    <t>Fri 2/26 - 4:33 PM</t>
  </si>
  <si>
    <t>Fri 2/26 - 4:40 PM</t>
  </si>
  <si>
    <t>Fri 2/26 - 4:47 PM</t>
  </si>
  <si>
    <t>Fri 2/26 - 4:57 PM</t>
  </si>
  <si>
    <t>Fri 2/26 - 5:04 PM</t>
  </si>
  <si>
    <t>Fri 2/26 - 5:11 PM</t>
  </si>
  <si>
    <t>Fri 2/26 - 5:18 PM</t>
  </si>
  <si>
    <t>Fri 2/26 - 5:25 PM</t>
  </si>
  <si>
    <t>Fri 2/26 - 5:32 PM</t>
  </si>
  <si>
    <t>Sat 2/27 - 9:00 AM</t>
  </si>
  <si>
    <t>Sat 2/27 - 9:07 AM</t>
  </si>
  <si>
    <t>Sat 2/27 - 9:14 AM</t>
  </si>
  <si>
    <t>Sat 2/27 - 9:21 AM</t>
  </si>
  <si>
    <t>Sat 2/27 - 9:31 AM</t>
  </si>
  <si>
    <t>Sat 2/27 - 9:38 AM</t>
  </si>
  <si>
    <t>Sat 2/27 - 9:45 AM</t>
  </si>
  <si>
    <t>Sat 2/27 - 9:52 AM</t>
  </si>
  <si>
    <t>Sat 2/27 - 9:59 AM</t>
  </si>
  <si>
    <t>Sat 2/27 - 10:06 AM</t>
  </si>
  <si>
    <t>Sat 2/27 - 10:13 AM</t>
  </si>
  <si>
    <t>Sat 2/27 - 10:20 AM</t>
  </si>
  <si>
    <t>Sat 2/27 - 10:27 AM</t>
  </si>
  <si>
    <t>Sat 2/27 - 10:34 AM</t>
  </si>
  <si>
    <t>Sat 2/27 - 10:44 AM</t>
  </si>
  <si>
    <t>Sat 2/27 - 10:51 AM</t>
  </si>
  <si>
    <t>Sat 2/27 - 10:58 AM</t>
  </si>
  <si>
    <t>Sat 2/27 - 11:05 AM</t>
  </si>
  <si>
    <t>Sat 2/27 - 11:12 AM</t>
  </si>
  <si>
    <t>Sat 2/27 - 11:19 AM</t>
  </si>
  <si>
    <t>Sat 2/27 - 11:26 AM</t>
  </si>
  <si>
    <t>Sat 2/27 - 11:33 AM</t>
  </si>
  <si>
    <t>Sat 2/27 - 11:40 AM</t>
  </si>
  <si>
    <t>2016 Playoff Matches</t>
  </si>
  <si>
    <t>Sat 2/27 - 1:30 PM</t>
  </si>
  <si>
    <t>Sat 2/27 - 1:37 PM</t>
  </si>
  <si>
    <t>Sat 2/27 - 1:44 PM</t>
  </si>
  <si>
    <t>Sat 2/27 - 1:51 PM</t>
  </si>
  <si>
    <t>Sat 2/27 - 2:01 PM</t>
  </si>
  <si>
    <t>Sat 2/27 - 2:08 PM</t>
  </si>
  <si>
    <t>Sat 2/27 - 2:15 PM</t>
  </si>
  <si>
    <t>Sat 2/27 - 2:22 PM</t>
  </si>
  <si>
    <t>Sat 2/27 - 2:56 PM</t>
  </si>
  <si>
    <t>Sat 2/27 - 3:12 PM</t>
  </si>
  <si>
    <t>Sat 2/27 - 3:19 PM</t>
  </si>
  <si>
    <t>Sat 2/27 - 3:29 PM</t>
  </si>
  <si>
    <t>Sat 2/27 - 3:36 PM</t>
  </si>
  <si>
    <t>Sat 2/27 - 4:12 PM</t>
  </si>
  <si>
    <t>Sat 2/27 - 4:25 PM</t>
  </si>
  <si>
    <t>Sat 2/27 - 4:38 PM</t>
  </si>
  <si>
    <t>Auto Weightings</t>
  </si>
  <si>
    <t>Shoot</t>
  </si>
  <si>
    <t>Pick-up</t>
  </si>
  <si>
    <t>Cross Defense</t>
  </si>
  <si>
    <t>Foul</t>
  </si>
  <si>
    <t>Tele Offense Weightings</t>
  </si>
  <si>
    <t>Overall Weightings
 (1-5, "5" the best)</t>
  </si>
  <si>
    <t>Avg Score</t>
  </si>
  <si>
    <t>Type</t>
  </si>
  <si>
    <t>Practice</t>
  </si>
  <si>
    <t>Capability</t>
  </si>
  <si>
    <t>Red</t>
  </si>
  <si>
    <t>Blue</t>
  </si>
  <si>
    <t>Elimination</t>
  </si>
  <si>
    <t>Predicted Score</t>
  </si>
  <si>
    <t>OFFENSE</t>
  </si>
  <si>
    <t>DEFENSE</t>
  </si>
  <si>
    <t>Auto Points</t>
  </si>
  <si>
    <t>Auto %</t>
  </si>
  <si>
    <t>Teleop Points</t>
  </si>
  <si>
    <t>Telop %</t>
  </si>
  <si>
    <t>Passing Points</t>
  </si>
  <si>
    <t>Passing %</t>
  </si>
  <si>
    <t>Truss Points</t>
  </si>
  <si>
    <t>Truss %</t>
  </si>
  <si>
    <t>Catch Points</t>
  </si>
  <si>
    <t>Catch %</t>
  </si>
  <si>
    <t>Defense Points</t>
  </si>
  <si>
    <t>Defense %</t>
  </si>
  <si>
    <t>Position Inbounder</t>
  </si>
  <si>
    <t>Position Midcourt</t>
  </si>
  <si>
    <t>Position Shooter</t>
  </si>
  <si>
    <t xml:space="preserve">scout_name_in    </t>
  </si>
  <si>
    <t xml:space="preserve">team_number_in   </t>
  </si>
  <si>
    <t xml:space="preserve">match_number_in    </t>
  </si>
  <si>
    <t xml:space="preserve">match_type     </t>
  </si>
  <si>
    <t>spy</t>
  </si>
  <si>
    <t xml:space="preserve">auto_pts_display    </t>
  </si>
  <si>
    <t xml:space="preserve">auto_miss_display  </t>
  </si>
  <si>
    <t xml:space="preserve">Front_shoot    </t>
  </si>
  <si>
    <t xml:space="preserve">Full_shoot    </t>
  </si>
  <si>
    <t xml:space="preserve">tele_high_pts_display  </t>
  </si>
  <si>
    <t xml:space="preserve">tele_high_miss_display </t>
  </si>
  <si>
    <t xml:space="preserve">tele_low_pts_display   </t>
  </si>
  <si>
    <t xml:space="preserve">tele_low_miss_display  </t>
  </si>
  <si>
    <t xml:space="preserve">tele_driving </t>
  </si>
  <si>
    <t xml:space="preserve">tele_robot_block </t>
  </si>
  <si>
    <t>tele_robot_block_time</t>
  </si>
  <si>
    <t xml:space="preserve">end_climb_speed </t>
  </si>
  <si>
    <t xml:space="preserve">cullCounter  </t>
  </si>
  <si>
    <t xml:space="preserve">stuck_cull    </t>
  </si>
  <si>
    <t xml:space="preserve">drawbridgeCounter     </t>
  </si>
  <si>
    <t xml:space="preserve">stuck_drawbridge   </t>
  </si>
  <si>
    <t xml:space="preserve">frisCounter   </t>
  </si>
  <si>
    <t xml:space="preserve">stuck_fris    </t>
  </si>
  <si>
    <t xml:space="preserve">moatCounter   </t>
  </si>
  <si>
    <t xml:space="preserve">stuck_moat    </t>
  </si>
  <si>
    <t xml:space="preserve">rampCounter   </t>
  </si>
  <si>
    <t xml:space="preserve">stuck_ramp    </t>
  </si>
  <si>
    <t xml:space="preserve">rockCounter   </t>
  </si>
  <si>
    <t xml:space="preserve">stuck_rock    </t>
  </si>
  <si>
    <t xml:space="preserve">sallyCounter  </t>
  </si>
  <si>
    <t xml:space="preserve">stuck_sally   </t>
  </si>
  <si>
    <t>terrainCounter</t>
  </si>
  <si>
    <t xml:space="preserve">stuck_terrain </t>
  </si>
  <si>
    <t xml:space="preserve">lowbarCounter </t>
  </si>
  <si>
    <t xml:space="preserve">stuck_lowbar  </t>
  </si>
  <si>
    <t xml:space="preserve">capture_attempt  </t>
  </si>
  <si>
    <t xml:space="preserve">capture_success  </t>
  </si>
  <si>
    <t xml:space="preserve">scale_attempt    </t>
  </si>
  <si>
    <t xml:space="preserve">scale_success    </t>
  </si>
  <si>
    <t xml:space="preserve">penalty </t>
  </si>
  <si>
    <t xml:space="preserve">technical </t>
  </si>
  <si>
    <t xml:space="preserve">Overall_Rating   </t>
  </si>
  <si>
    <t xml:space="preserve">scout name in    </t>
  </si>
  <si>
    <t xml:space="preserve">team number in   </t>
  </si>
  <si>
    <t xml:space="preserve">match number in    </t>
  </si>
  <si>
    <t xml:space="preserve">match type     </t>
  </si>
  <si>
    <t xml:space="preserve">auto pts display    </t>
  </si>
  <si>
    <t xml:space="preserve">auto miss display  </t>
  </si>
  <si>
    <t xml:space="preserve">Front shoot    </t>
  </si>
  <si>
    <t xml:space="preserve">Full shoot    </t>
  </si>
  <si>
    <t xml:space="preserve">tele high pts display  </t>
  </si>
  <si>
    <t xml:space="preserve">tele high miss display </t>
  </si>
  <si>
    <t xml:space="preserve">tele low pts display   </t>
  </si>
  <si>
    <t xml:space="preserve">tele low miss display  </t>
  </si>
  <si>
    <t xml:space="preserve">tele driving </t>
  </si>
  <si>
    <t xml:space="preserve">tele robot block </t>
  </si>
  <si>
    <t>tele robot block time</t>
  </si>
  <si>
    <t xml:space="preserve">end climb speed </t>
  </si>
  <si>
    <t xml:space="preserve">stuck drawbridge   </t>
  </si>
  <si>
    <t xml:space="preserve">stuck moat    </t>
  </si>
  <si>
    <t xml:space="preserve">stuck ramp    </t>
  </si>
  <si>
    <t xml:space="preserve">stuck lowbar  </t>
  </si>
  <si>
    <t xml:space="preserve">capture attempt  </t>
  </si>
  <si>
    <t xml:space="preserve">capture success  </t>
  </si>
  <si>
    <t xml:space="preserve">scale attempt    </t>
  </si>
  <si>
    <t xml:space="preserve">scale success    </t>
  </si>
  <si>
    <t xml:space="preserve">Overall Rating   </t>
  </si>
  <si>
    <t xml:space="preserve">Portcullis Counter  </t>
  </si>
  <si>
    <t xml:space="preserve">stuck Portcullis     </t>
  </si>
  <si>
    <t xml:space="preserve">drawbridge Counter     </t>
  </si>
  <si>
    <t xml:space="preserve">ChevalDuFris Counter   </t>
  </si>
  <si>
    <t xml:space="preserve">stuck ChevalDuFris     </t>
  </si>
  <si>
    <t xml:space="preserve">moat Counter   </t>
  </si>
  <si>
    <t xml:space="preserve">ramp Counter   </t>
  </si>
  <si>
    <t xml:space="preserve">rock wall Counter   </t>
  </si>
  <si>
    <t xml:space="preserve">stuck rock wall    </t>
  </si>
  <si>
    <t xml:space="preserve">Sally Gate Counter  </t>
  </si>
  <si>
    <t xml:space="preserve">stuck Sally Gate    </t>
  </si>
  <si>
    <t>rough terrain Counter</t>
  </si>
  <si>
    <t xml:space="preserve">stuck rough terrain  </t>
  </si>
  <si>
    <t xml:space="preserve">lowbar Counter </t>
  </si>
  <si>
    <t>Thune</t>
  </si>
  <si>
    <t>thune</t>
  </si>
  <si>
    <t>Rough Terrain</t>
  </si>
  <si>
    <t xml:space="preserve">test data - average joe team </t>
  </si>
  <si>
    <t>Cheval de Frise</t>
  </si>
  <si>
    <t xml:space="preserve">test data - slow and steady. not a good bot. </t>
  </si>
  <si>
    <t>None</t>
  </si>
  <si>
    <t>test data - fast and efficient. good defense_ good shooter</t>
  </si>
  <si>
    <t xml:space="preserve">Drove To Defense </t>
  </si>
  <si>
    <t>Auto Defense Crossed</t>
  </si>
  <si>
    <t>test data _ slow but decent defender</t>
  </si>
  <si>
    <t>Drawbridge</t>
  </si>
  <si>
    <t>test data_ still working on comma removal_ not sure why</t>
  </si>
  <si>
    <t>Low Bar</t>
  </si>
  <si>
    <t>test_ data_ how_ many_ commas_ can_ be_ removed_ from_ a_ comment_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</si>
</sst>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_);\(#,##0.0\)"/>
    <numFmt numFmtId="165" formatCode="[$-409]h:mm\ AM/PM;@"/>
    <numFmt numFmtId="166" formatCode="0.0"/>
  </numFmts>
  <fonts count="23" x14ac:knownFonts="1">
    <font>
      <sz val="11"/>
      <color theme="1"/>
      <name val="Calibri"/>
      <family val="2"/>
      <scheme val="minor"/>
    </font>
    <font>
      <sz val="11"/>
      <color rgb="FF333333"/>
      <name val="Arial"/>
      <family val="2"/>
    </font>
    <font>
      <b/>
      <sz val="11"/>
      <color rgb="FF333333"/>
      <name val="Arial"/>
      <family val="2"/>
    </font>
    <font>
      <sz val="11"/>
      <color rgb="FFFF0000"/>
      <name val="Arial"/>
      <family val="2"/>
    </font>
    <font>
      <sz val="11"/>
      <color rgb="FF0000FF"/>
      <name val="Arial"/>
      <family val="2"/>
    </font>
    <font>
      <i/>
      <strike/>
      <sz val="11"/>
      <color rgb="FF333333"/>
      <name val="Arial"/>
      <family val="2"/>
    </font>
    <font>
      <sz val="18"/>
      <color theme="1"/>
      <name val="Calibri"/>
      <family val="2"/>
      <scheme val="minor"/>
    </font>
    <font>
      <sz val="10"/>
      <color rgb="FF222222"/>
      <name val="Arial"/>
      <family val="2"/>
    </font>
    <font>
      <b/>
      <sz val="14"/>
      <color theme="1"/>
      <name val="Verdana"/>
      <family val="2"/>
    </font>
    <font>
      <b/>
      <u/>
      <sz val="14"/>
      <color indexed="8"/>
      <name val="Calibri"/>
      <family val="2"/>
    </font>
    <font>
      <sz val="11"/>
      <color indexed="8"/>
      <name val="Calibri"/>
      <family val="2"/>
    </font>
    <font>
      <sz val="9"/>
      <color indexed="81"/>
      <name val="Tahoma"/>
      <family val="2"/>
    </font>
    <font>
      <b/>
      <sz val="9"/>
      <color indexed="81"/>
      <name val="Tahoma"/>
      <family val="2"/>
    </font>
    <font>
      <b/>
      <sz val="11"/>
      <color theme="1"/>
      <name val="Calibri"/>
      <family val="2"/>
      <scheme val="minor"/>
    </font>
    <font>
      <b/>
      <sz val="18"/>
      <color theme="1"/>
      <name val="Calibri"/>
      <family val="2"/>
      <scheme val="minor"/>
    </font>
    <font>
      <b/>
      <sz val="12"/>
      <color rgb="FFFFFFFF"/>
      <name val="Arial"/>
      <family val="2"/>
    </font>
    <font>
      <sz val="16"/>
      <color theme="1"/>
      <name val="Calibri"/>
      <family val="2"/>
      <scheme val="minor"/>
    </font>
    <font>
      <b/>
      <sz val="16"/>
      <name val="Calibri"/>
      <family val="2"/>
      <scheme val="minor"/>
    </font>
    <font>
      <b/>
      <sz val="12"/>
      <name val="Calibri"/>
      <family val="2"/>
      <scheme val="minor"/>
    </font>
    <font>
      <b/>
      <sz val="11"/>
      <name val="Calibri"/>
      <family val="2"/>
      <scheme val="minor"/>
    </font>
    <font>
      <b/>
      <sz val="11"/>
      <color theme="4"/>
      <name val="Calibri"/>
      <family val="2"/>
      <scheme val="minor"/>
    </font>
    <font>
      <sz val="11"/>
      <color rgb="FF000000"/>
      <name val="Calibri"/>
      <family val="2"/>
    </font>
    <font>
      <sz val="11"/>
      <color theme="1"/>
      <name val="Arial Black"/>
      <family val="2"/>
    </font>
  </fonts>
  <fills count="14">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rgb="FFF2DEDE"/>
        <bgColor indexed="64"/>
      </patternFill>
    </fill>
    <fill>
      <patternFill patternType="solid">
        <fgColor rgb="FFD9EDF7"/>
        <bgColor indexed="64"/>
      </patternFill>
    </fill>
    <fill>
      <patternFill patternType="solid">
        <fgColor rgb="FFFFFF66"/>
        <bgColor indexed="64"/>
      </patternFill>
    </fill>
    <fill>
      <patternFill patternType="solid">
        <fgColor theme="6" tint="0.39997558519241921"/>
        <bgColor indexed="64"/>
      </patternFill>
    </fill>
    <fill>
      <patternFill patternType="solid">
        <fgColor rgb="FFF2E679"/>
        <bgColor indexed="64"/>
      </patternFill>
    </fill>
    <fill>
      <patternFill patternType="solid">
        <fgColor theme="0" tint="-0.249977111117893"/>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54539B"/>
        <bgColor indexed="64"/>
      </patternFill>
    </fill>
  </fills>
  <borders count="14">
    <border>
      <left/>
      <right/>
      <top/>
      <bottom/>
      <diagonal/>
    </border>
    <border>
      <left style="medium">
        <color rgb="FFDDDDDD"/>
      </left>
      <right style="medium">
        <color rgb="FFDDDDDD"/>
      </right>
      <top style="medium">
        <color rgb="FFDDDDDD"/>
      </top>
      <bottom style="medium">
        <color rgb="FFDDDDDD"/>
      </bottom>
      <diagonal/>
    </border>
    <border>
      <left/>
      <right/>
      <top/>
      <bottom style="medium">
        <color indexed="64"/>
      </bottom>
      <diagonal/>
    </border>
    <border>
      <left style="medium">
        <color rgb="FFDDDDDD"/>
      </left>
      <right style="medium">
        <color rgb="FFDDDDDD"/>
      </right>
      <top style="medium">
        <color rgb="FFDDDDDD"/>
      </top>
      <bottom style="medium">
        <color indexed="64"/>
      </bottom>
      <diagonal/>
    </border>
    <border>
      <left style="thin">
        <color indexed="64"/>
      </left>
      <right style="thin">
        <color indexed="64"/>
      </right>
      <top style="thin">
        <color indexed="64"/>
      </top>
      <bottom style="thin">
        <color indexed="64"/>
      </bottom>
      <diagonal/>
    </border>
    <border>
      <left style="medium">
        <color rgb="FFDDDDDD"/>
      </left>
      <right style="medium">
        <color rgb="FFDDDDDD"/>
      </right>
      <top/>
      <bottom style="medium">
        <color rgb="FFDDDDDD"/>
      </bottom>
      <diagonal/>
    </border>
    <border>
      <left/>
      <right/>
      <top style="medium">
        <color rgb="FFDDDDDD"/>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n">
        <color indexed="64"/>
      </top>
      <bottom/>
      <diagonal/>
    </border>
    <border>
      <left/>
      <right/>
      <top/>
      <bottom style="thin">
        <color indexed="64"/>
      </bottom>
      <diagonal/>
    </border>
  </borders>
  <cellStyleXfs count="3">
    <xf numFmtId="0" fontId="0" fillId="0" borderId="0"/>
    <xf numFmtId="43" fontId="10" fillId="0" borderId="0" applyFont="0" applyFill="0" applyBorder="0" applyAlignment="0" applyProtection="0"/>
    <xf numFmtId="9" fontId="10" fillId="0" borderId="0" applyFont="0" applyFill="0" applyBorder="0" applyAlignment="0" applyProtection="0"/>
  </cellStyleXfs>
  <cellXfs count="92">
    <xf numFmtId="0" fontId="0" fillId="0" borderId="0" xfId="0"/>
    <xf numFmtId="0" fontId="0" fillId="0" borderId="0" xfId="0" applyNumberFormat="1"/>
    <xf numFmtId="0" fontId="0" fillId="0" borderId="0" xfId="0" pivotButton="1"/>
    <xf numFmtId="0" fontId="0" fillId="0" borderId="0" xfId="0" applyAlignment="1">
      <alignment horizontal="left"/>
    </xf>
    <xf numFmtId="0" fontId="6" fillId="0" borderId="0" xfId="0" applyFont="1"/>
    <xf numFmtId="0" fontId="6" fillId="0" borderId="0" xfId="0" applyFont="1" applyAlignment="1">
      <alignment wrapText="1"/>
    </xf>
    <xf numFmtId="0" fontId="6" fillId="0" borderId="2" xfId="0" applyFont="1" applyBorder="1" applyAlignment="1">
      <alignment horizontal="center" wrapText="1"/>
    </xf>
    <xf numFmtId="0" fontId="6" fillId="0" borderId="0" xfId="0" applyFont="1" applyFill="1" applyAlignment="1">
      <alignment wrapText="1"/>
    </xf>
    <xf numFmtId="0" fontId="6" fillId="0" borderId="2" xfId="0" applyFont="1" applyBorder="1" applyAlignment="1">
      <alignment horizontal="left" wrapText="1"/>
    </xf>
    <xf numFmtId="0" fontId="0" fillId="6" borderId="0" xfId="0" applyFill="1" applyAlignment="1"/>
    <xf numFmtId="0" fontId="0" fillId="7" borderId="0" xfId="0" applyFill="1" applyAlignment="1"/>
    <xf numFmtId="0" fontId="0" fillId="0" borderId="0" xfId="0" applyAlignment="1"/>
    <xf numFmtId="0" fontId="7" fillId="0" borderId="0" xfId="0" applyFont="1" applyAlignment="1"/>
    <xf numFmtId="0" fontId="8" fillId="0" borderId="0" xfId="0" applyFont="1" applyFill="1" applyBorder="1" applyAlignment="1">
      <alignment horizontal="left"/>
    </xf>
    <xf numFmtId="0" fontId="0" fillId="0" borderId="0" xfId="0" applyFont="1" applyFill="1" applyBorder="1" applyAlignment="1">
      <alignment horizontal="center" vertical="center"/>
    </xf>
    <xf numFmtId="0" fontId="0" fillId="0" borderId="0" xfId="0" applyFont="1" applyFill="1" applyBorder="1" applyAlignment="1">
      <alignment horizontal="center"/>
    </xf>
    <xf numFmtId="0" fontId="0" fillId="0" borderId="0" xfId="0" applyFont="1" applyFill="1" applyBorder="1" applyAlignment="1">
      <alignment horizontal="right"/>
    </xf>
    <xf numFmtId="0" fontId="8" fillId="0" borderId="0" xfId="0" applyFont="1" applyFill="1" applyBorder="1" applyAlignment="1">
      <alignment horizontal="center"/>
    </xf>
    <xf numFmtId="0" fontId="9" fillId="0" borderId="0" xfId="0" applyFont="1" applyFill="1" applyBorder="1" applyAlignment="1">
      <alignment horizontal="center"/>
    </xf>
    <xf numFmtId="0" fontId="2" fillId="2" borderId="3" xfId="0" applyFont="1" applyFill="1" applyBorder="1" applyAlignment="1">
      <alignment horizontal="center" vertical="center" wrapText="1"/>
    </xf>
    <xf numFmtId="0" fontId="10" fillId="0" borderId="4" xfId="0" applyFont="1" applyFill="1" applyBorder="1" applyAlignment="1">
      <alignment horizontal="center"/>
    </xf>
    <xf numFmtId="0" fontId="10" fillId="0" borderId="4" xfId="0" applyFont="1" applyFill="1" applyBorder="1" applyAlignment="1">
      <alignment horizontal="center" vertical="center"/>
    </xf>
    <xf numFmtId="0" fontId="1" fillId="3" borderId="5" xfId="0" applyFont="1" applyFill="1" applyBorder="1" applyAlignment="1">
      <alignment horizontal="center" vertical="top" wrapText="1"/>
    </xf>
    <xf numFmtId="0" fontId="1" fillId="4" borderId="5" xfId="0" applyFont="1" applyFill="1" applyBorder="1" applyAlignment="1">
      <alignment horizontal="center" vertical="top" wrapText="1"/>
    </xf>
    <xf numFmtId="0" fontId="1" fillId="5" borderId="5" xfId="0" applyFont="1" applyFill="1" applyBorder="1" applyAlignment="1">
      <alignment horizontal="center" vertical="top" wrapText="1"/>
    </xf>
    <xf numFmtId="0" fontId="3" fillId="3" borderId="5" xfId="0" applyFont="1" applyFill="1" applyBorder="1" applyAlignment="1">
      <alignment horizontal="center" vertical="top" wrapText="1"/>
    </xf>
    <xf numFmtId="0" fontId="4" fillId="3" borderId="5" xfId="0" applyFont="1" applyFill="1" applyBorder="1" applyAlignment="1">
      <alignment horizontal="center" vertical="top" wrapText="1"/>
    </xf>
    <xf numFmtId="0" fontId="1" fillId="3" borderId="6" xfId="0" applyFont="1" applyFill="1" applyBorder="1" applyAlignment="1">
      <alignment horizontal="center" vertical="top" wrapText="1"/>
    </xf>
    <xf numFmtId="0" fontId="0" fillId="0" borderId="4" xfId="0" applyFont="1" applyFill="1" applyBorder="1" applyAlignment="1">
      <alignment horizontal="center"/>
    </xf>
    <xf numFmtId="0" fontId="0" fillId="0" borderId="4" xfId="0" applyFont="1" applyFill="1" applyBorder="1" applyAlignment="1">
      <alignment horizontal="center" vertical="center"/>
    </xf>
    <xf numFmtId="0" fontId="1"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1" fillId="5" borderId="1" xfId="0" applyFont="1" applyFill="1" applyBorder="1" applyAlignment="1">
      <alignment horizontal="center" vertical="top" wrapText="1"/>
    </xf>
    <xf numFmtId="0" fontId="5" fillId="5" borderId="1" xfId="0" applyFont="1" applyFill="1" applyBorder="1" applyAlignment="1">
      <alignment horizontal="center" vertical="top" wrapText="1"/>
    </xf>
    <xf numFmtId="0" fontId="3" fillId="2" borderId="1" xfId="0" applyFont="1" applyFill="1" applyBorder="1" applyAlignment="1">
      <alignment horizontal="center" vertical="top" wrapText="1"/>
    </xf>
    <xf numFmtId="0" fontId="4" fillId="2" borderId="1" xfId="0" applyFont="1" applyFill="1" applyBorder="1" applyAlignment="1">
      <alignment horizontal="center" vertical="top" wrapText="1"/>
    </xf>
    <xf numFmtId="0" fontId="1" fillId="2" borderId="6" xfId="0" applyFont="1" applyFill="1" applyBorder="1" applyAlignment="1">
      <alignment horizontal="center" vertical="top" wrapText="1"/>
    </xf>
    <xf numFmtId="14" fontId="1" fillId="2" borderId="6" xfId="0" applyNumberFormat="1" applyFont="1" applyFill="1" applyBorder="1" applyAlignment="1">
      <alignment horizontal="center" vertical="top" wrapText="1"/>
    </xf>
    <xf numFmtId="0" fontId="1" fillId="3" borderId="1" xfId="0" applyFont="1" applyFill="1" applyBorder="1" applyAlignment="1">
      <alignment horizontal="center" vertical="top" wrapText="1"/>
    </xf>
    <xf numFmtId="0" fontId="3" fillId="3" borderId="1" xfId="0" applyFont="1" applyFill="1" applyBorder="1" applyAlignment="1">
      <alignment horizontal="center" vertical="top" wrapText="1"/>
    </xf>
    <xf numFmtId="0" fontId="4" fillId="3" borderId="1" xfId="0" applyFont="1" applyFill="1" applyBorder="1" applyAlignment="1">
      <alignment horizontal="center" vertical="top" wrapText="1"/>
    </xf>
    <xf numFmtId="14" fontId="1" fillId="3" borderId="6" xfId="0" applyNumberFormat="1" applyFont="1" applyFill="1" applyBorder="1" applyAlignment="1">
      <alignment horizontal="center" vertical="top" wrapText="1"/>
    </xf>
    <xf numFmtId="0" fontId="1" fillId="8" borderId="6" xfId="0" applyFont="1" applyFill="1" applyBorder="1" applyAlignment="1">
      <alignment horizontal="center" vertical="top" wrapText="1"/>
    </xf>
    <xf numFmtId="14" fontId="1" fillId="8" borderId="6" xfId="0" applyNumberFormat="1" applyFont="1" applyFill="1" applyBorder="1" applyAlignment="1">
      <alignment horizontal="center" vertical="top" wrapText="1"/>
    </xf>
    <xf numFmtId="0" fontId="6" fillId="0" borderId="0" xfId="0" applyFont="1" applyAlignment="1">
      <alignment horizontal="center"/>
    </xf>
    <xf numFmtId="0" fontId="6" fillId="9" borderId="0" xfId="0" applyFont="1" applyFill="1" applyAlignment="1">
      <alignment horizontal="center"/>
    </xf>
    <xf numFmtId="0" fontId="6"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14" fillId="0" borderId="0" xfId="0" applyFont="1" applyAlignment="1">
      <alignment horizontal="center"/>
    </xf>
    <xf numFmtId="0" fontId="14" fillId="10" borderId="0" xfId="0" applyFont="1" applyFill="1" applyBorder="1" applyAlignment="1">
      <alignment horizontal="center"/>
    </xf>
    <xf numFmtId="0" fontId="0" fillId="0" borderId="0" xfId="0" applyAlignment="1">
      <alignment horizontal="center" wrapText="1"/>
    </xf>
    <xf numFmtId="164" fontId="0" fillId="0" borderId="0" xfId="1" applyNumberFormat="1" applyFont="1" applyAlignment="1">
      <alignment horizontal="center" wrapText="1"/>
    </xf>
    <xf numFmtId="0" fontId="0" fillId="0" borderId="0" xfId="0" applyBorder="1" applyAlignment="1">
      <alignment horizontal="center" wrapText="1"/>
    </xf>
    <xf numFmtId="0" fontId="0" fillId="0" borderId="0" xfId="0" applyBorder="1" applyAlignment="1">
      <alignment horizontal="left" wrapText="1"/>
    </xf>
    <xf numFmtId="0" fontId="13" fillId="0" borderId="0" xfId="0" applyFont="1" applyAlignment="1">
      <alignment horizontal="center"/>
    </xf>
    <xf numFmtId="0" fontId="13" fillId="0" borderId="0" xfId="0" applyFont="1" applyBorder="1" applyAlignment="1">
      <alignment horizontal="center"/>
    </xf>
    <xf numFmtId="0" fontId="13" fillId="0" borderId="0" xfId="0" applyFont="1" applyAlignment="1">
      <alignment horizontal="left"/>
    </xf>
    <xf numFmtId="0" fontId="0" fillId="0" borderId="0" xfId="0" applyAlignment="1">
      <alignment horizontal="center"/>
    </xf>
    <xf numFmtId="0" fontId="0" fillId="0" borderId="0" xfId="0" applyBorder="1" applyAlignment="1">
      <alignment horizontal="center"/>
    </xf>
    <xf numFmtId="0" fontId="13" fillId="0" borderId="0" xfId="0" applyFont="1" applyBorder="1" applyAlignment="1">
      <alignment horizontal="left"/>
    </xf>
    <xf numFmtId="0" fontId="15" fillId="11" borderId="0" xfId="0" applyFont="1" applyFill="1" applyAlignment="1">
      <alignment horizontal="center" wrapText="1"/>
    </xf>
    <xf numFmtId="0" fontId="15" fillId="12" borderId="0" xfId="0" applyFont="1" applyFill="1" applyAlignment="1">
      <alignment horizontal="center" wrapText="1"/>
    </xf>
    <xf numFmtId="0" fontId="15" fillId="13" borderId="0" xfId="0" applyFont="1" applyFill="1" applyAlignment="1">
      <alignment horizontal="center" wrapText="1"/>
    </xf>
    <xf numFmtId="0" fontId="0" fillId="0" borderId="0" xfId="0" applyBorder="1" applyAlignment="1">
      <alignment horizontal="left"/>
    </xf>
    <xf numFmtId="0" fontId="0" fillId="0" borderId="10" xfId="0" applyBorder="1" applyAlignment="1">
      <alignment horizontal="center"/>
    </xf>
    <xf numFmtId="165" fontId="15" fillId="11" borderId="0" xfId="0" applyNumberFormat="1" applyFont="1" applyFill="1" applyAlignment="1">
      <alignment horizontal="center" wrapText="1"/>
    </xf>
    <xf numFmtId="0" fontId="0" fillId="0" borderId="11" xfId="0" applyBorder="1" applyAlignment="1">
      <alignment horizontal="center"/>
    </xf>
    <xf numFmtId="0" fontId="16" fillId="0" borderId="12" xfId="0" applyFont="1" applyBorder="1" applyAlignment="1">
      <alignment horizontal="center" wrapText="1"/>
    </xf>
    <xf numFmtId="0" fontId="17" fillId="0" borderId="12" xfId="0" applyFont="1" applyBorder="1" applyAlignment="1">
      <alignment horizontal="left" wrapText="1"/>
    </xf>
    <xf numFmtId="166" fontId="17" fillId="0" borderId="12" xfId="2" applyNumberFormat="1" applyFont="1" applyFill="1" applyBorder="1" applyAlignment="1">
      <alignment horizontal="center" vertical="top"/>
    </xf>
    <xf numFmtId="1" fontId="16" fillId="0" borderId="12" xfId="0" applyNumberFormat="1" applyFont="1" applyBorder="1" applyAlignment="1">
      <alignment horizontal="center" wrapText="1"/>
    </xf>
    <xf numFmtId="0" fontId="16" fillId="0" borderId="12" xfId="0" applyFont="1" applyBorder="1" applyAlignment="1">
      <alignment horizontal="left" wrapText="1"/>
    </xf>
    <xf numFmtId="0" fontId="0" fillId="0" borderId="12" xfId="0" applyBorder="1" applyAlignment="1">
      <alignment horizontal="center" wrapText="1"/>
    </xf>
    <xf numFmtId="0" fontId="18" fillId="0" borderId="12" xfId="0" applyFont="1" applyBorder="1" applyAlignment="1">
      <alignment horizontal="left" wrapText="1"/>
    </xf>
    <xf numFmtId="166" fontId="19" fillId="0" borderId="12" xfId="2" applyNumberFormat="1" applyFont="1" applyFill="1" applyBorder="1" applyAlignment="1">
      <alignment horizontal="center" vertical="top"/>
    </xf>
    <xf numFmtId="0" fontId="0" fillId="0" borderId="12" xfId="0" applyBorder="1" applyAlignment="1">
      <alignment horizontal="left" wrapText="1"/>
    </xf>
    <xf numFmtId="0" fontId="0" fillId="0" borderId="13" xfId="0" applyBorder="1" applyAlignment="1">
      <alignment horizontal="center"/>
    </xf>
    <xf numFmtId="0" fontId="18" fillId="0" borderId="13" xfId="0" applyFont="1" applyBorder="1" applyAlignment="1">
      <alignment horizontal="left" wrapText="1"/>
    </xf>
    <xf numFmtId="9" fontId="19" fillId="0" borderId="13" xfId="2" applyFont="1" applyFill="1" applyBorder="1" applyAlignment="1">
      <alignment horizontal="center" vertical="top"/>
    </xf>
    <xf numFmtId="0" fontId="0" fillId="0" borderId="13" xfId="0" applyBorder="1" applyAlignment="1">
      <alignment horizontal="left"/>
    </xf>
    <xf numFmtId="0" fontId="0" fillId="0" borderId="12" xfId="0" applyBorder="1" applyAlignment="1">
      <alignment horizontal="center"/>
    </xf>
    <xf numFmtId="0" fontId="0" fillId="0" borderId="12" xfId="0" applyBorder="1" applyAlignment="1">
      <alignment horizontal="left"/>
    </xf>
    <xf numFmtId="0" fontId="20" fillId="0" borderId="13" xfId="0" applyFont="1" applyBorder="1" applyAlignment="1">
      <alignment horizontal="center"/>
    </xf>
    <xf numFmtId="0" fontId="20" fillId="0" borderId="13" xfId="0" applyFont="1" applyBorder="1" applyAlignment="1">
      <alignment horizontal="left"/>
    </xf>
    <xf numFmtId="0" fontId="20" fillId="0" borderId="12" xfId="0" applyFont="1" applyBorder="1" applyAlignment="1">
      <alignment horizontal="center"/>
    </xf>
    <xf numFmtId="0" fontId="20" fillId="0" borderId="12" xfId="0" applyFont="1" applyBorder="1" applyAlignment="1">
      <alignment horizontal="left"/>
    </xf>
    <xf numFmtId="0" fontId="18" fillId="0" borderId="0" xfId="0" applyFont="1" applyBorder="1" applyAlignment="1">
      <alignment horizontal="left" wrapText="1"/>
    </xf>
    <xf numFmtId="9" fontId="19" fillId="0" borderId="0" xfId="2" applyFont="1" applyFill="1" applyBorder="1" applyAlignment="1">
      <alignment horizontal="center" vertical="top"/>
    </xf>
    <xf numFmtId="9" fontId="19" fillId="0" borderId="12" xfId="2" applyFont="1" applyFill="1" applyBorder="1" applyAlignment="1">
      <alignment horizontal="center" vertical="top"/>
    </xf>
    <xf numFmtId="164" fontId="0" fillId="0" borderId="0" xfId="1" applyNumberFormat="1" applyFont="1" applyAlignment="1">
      <alignment horizontal="center"/>
    </xf>
    <xf numFmtId="0" fontId="22" fillId="0" borderId="0" xfId="0" applyFont="1" applyAlignment="1">
      <alignment horizontal="center" vertical="center" wrapText="1"/>
    </xf>
  </cellXfs>
  <cellStyles count="3">
    <cellStyle name="Comma 2" xfId="1"/>
    <cellStyle name="Normal" xfId="0" builtinId="0"/>
    <cellStyle name="Percent 2" xfId="2"/>
  </cellStyles>
  <dxfs count="2">
    <dxf>
      <fill>
        <patternFill>
          <bgColor rgb="FFFFFF00"/>
        </patternFill>
      </fill>
    </dxf>
    <dxf>
      <fill>
        <patternFill>
          <bgColor rgb="FFFFFF00"/>
        </patternFill>
      </fill>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19050</xdr:rowOff>
    </xdr:from>
    <xdr:to>
      <xdr:col>1</xdr:col>
      <xdr:colOff>952500</xdr:colOff>
      <xdr:row>7</xdr:row>
      <xdr:rowOff>152399</xdr:rowOff>
    </xdr:to>
    <mc:AlternateContent xmlns:mc="http://schemas.openxmlformats.org/markup-compatibility/2006" xmlns:a14="http://schemas.microsoft.com/office/drawing/2010/main">
      <mc:Choice Requires="a14">
        <xdr:graphicFrame macro="">
          <xdr:nvGraphicFramePr>
            <xdr:cNvPr id="2" name="match type                          1"/>
            <xdr:cNvGraphicFramePr/>
          </xdr:nvGraphicFramePr>
          <xdr:xfrm>
            <a:off x="0" y="0"/>
            <a:ext cx="0" cy="0"/>
          </xdr:xfrm>
          <a:graphic>
            <a:graphicData uri="http://schemas.microsoft.com/office/drawing/2010/slicer">
              <sle:slicer xmlns:sle="http://schemas.microsoft.com/office/drawing/2010/slicer" name="match type                          1"/>
            </a:graphicData>
          </a:graphic>
        </xdr:graphicFrame>
      </mc:Choice>
      <mc:Fallback xmlns="">
        <xdr:sp macro="" textlink="">
          <xdr:nvSpPr>
            <xdr:cNvPr id="0" name=""/>
            <xdr:cNvSpPr>
              <a:spLocks noTextEdit="1"/>
            </xdr:cNvSpPr>
          </xdr:nvSpPr>
          <xdr:spPr>
            <a:xfrm>
              <a:off x="0" y="209550"/>
              <a:ext cx="182880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990600</xdr:colOff>
      <xdr:row>0</xdr:row>
      <xdr:rowOff>180976</xdr:rowOff>
    </xdr:from>
    <xdr:to>
      <xdr:col>3</xdr:col>
      <xdr:colOff>123825</xdr:colOff>
      <xdr:row>5</xdr:row>
      <xdr:rowOff>180976</xdr:rowOff>
    </xdr:to>
    <mc:AlternateContent xmlns:mc="http://schemas.openxmlformats.org/markup-compatibility/2006" xmlns:a14="http://schemas.microsoft.com/office/drawing/2010/main">
      <mc:Choice Requires="a14">
        <xdr:graphicFrame macro="">
          <xdr:nvGraphicFramePr>
            <xdr:cNvPr id="3" name="starting ball                      "/>
            <xdr:cNvGraphicFramePr/>
          </xdr:nvGraphicFramePr>
          <xdr:xfrm>
            <a:off x="0" y="0"/>
            <a:ext cx="0" cy="0"/>
          </xdr:xfrm>
          <a:graphic>
            <a:graphicData uri="http://schemas.microsoft.com/office/drawing/2010/slicer">
              <sle:slicer xmlns:sle="http://schemas.microsoft.com/office/drawing/2010/slicer" name="starting ball                      "/>
            </a:graphicData>
          </a:graphic>
        </xdr:graphicFrame>
      </mc:Choice>
      <mc:Fallback xmlns="">
        <xdr:sp macro="" textlink="">
          <xdr:nvSpPr>
            <xdr:cNvPr id="0" name=""/>
            <xdr:cNvSpPr>
              <a:spLocks noTextEdit="1"/>
            </xdr:cNvSpPr>
          </xdr:nvSpPr>
          <xdr:spPr>
            <a:xfrm>
              <a:off x="1866900" y="180976"/>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123825</xdr:colOff>
      <xdr:row>1</xdr:row>
      <xdr:rowOff>9525</xdr:rowOff>
    </xdr:from>
    <xdr:to>
      <xdr:col>6</xdr:col>
      <xdr:colOff>123825</xdr:colOff>
      <xdr:row>14</xdr:row>
      <xdr:rowOff>57150</xdr:rowOff>
    </xdr:to>
    <mc:AlternateContent xmlns:mc="http://schemas.openxmlformats.org/markup-compatibility/2006" xmlns:a14="http://schemas.microsoft.com/office/drawing/2010/main">
      <mc:Choice Requires="a14">
        <xdr:graphicFrame macro="">
          <xdr:nvGraphicFramePr>
            <xdr:cNvPr id="4" name="Human load                         "/>
            <xdr:cNvGraphicFramePr/>
          </xdr:nvGraphicFramePr>
          <xdr:xfrm>
            <a:off x="0" y="0"/>
            <a:ext cx="0" cy="0"/>
          </xdr:xfrm>
          <a:graphic>
            <a:graphicData uri="http://schemas.microsoft.com/office/drawing/2010/slicer">
              <sle:slicer xmlns:sle="http://schemas.microsoft.com/office/drawing/2010/slicer" name="Human load                         "/>
            </a:graphicData>
          </a:graphic>
        </xdr:graphicFrame>
      </mc:Choice>
      <mc:Fallback xmlns="">
        <xdr:sp macro="" textlink="">
          <xdr:nvSpPr>
            <xdr:cNvPr id="0" name=""/>
            <xdr:cNvSpPr>
              <a:spLocks noTextEdit="1"/>
            </xdr:cNvSpPr>
          </xdr:nvSpPr>
          <xdr:spPr>
            <a:xfrm>
              <a:off x="3695700" y="200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116012</xdr:colOff>
          <xdr:row>0</xdr:row>
          <xdr:rowOff>40561</xdr:rowOff>
        </xdr:from>
        <xdr:to>
          <xdr:col>8</xdr:col>
          <xdr:colOff>135062</xdr:colOff>
          <xdr:row>0</xdr:row>
          <xdr:rowOff>176051</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am%201736%202014%20Scouting%20Master%20Input_Macro_TED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 (7)"/>
      <sheetName val="F (6)"/>
      <sheetName val="F (5)"/>
      <sheetName val="F (4)"/>
      <sheetName val="F (3)"/>
      <sheetName val="F (2)"/>
      <sheetName val="F (1)"/>
      <sheetName val="Comments"/>
      <sheetName val="Pick List"/>
      <sheetName val="Alliance Selection"/>
      <sheetName val="Match Basics"/>
      <sheetName val="Match Pivot"/>
      <sheetName val="Competition Data"/>
      <sheetName val="Pit Scouting Data"/>
      <sheetName val="WIS Team Info"/>
      <sheetName val="WIS Results"/>
      <sheetName val="WIS Schedule"/>
      <sheetName val="CIR Results"/>
      <sheetName val="CIR Team Info"/>
      <sheetName val="CIR Schedule"/>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
          <cell r="A5" t="str">
            <v>Team</v>
          </cell>
          <cell r="B5" t="str">
            <v>Average of Automomous Points</v>
          </cell>
          <cell r="C5" t="str">
            <v>Average of Automomous % Effective</v>
          </cell>
          <cell r="D5" t="str">
            <v>Average of Teleop Points</v>
          </cell>
          <cell r="E5" t="str">
            <v>Average of Teleop % Effective</v>
          </cell>
          <cell r="F5" t="str">
            <v>Average of Passing Points</v>
          </cell>
          <cell r="G5" t="str">
            <v>Average of Passing % Effective</v>
          </cell>
          <cell r="H5" t="str">
            <v>Average of Truss Toss Points</v>
          </cell>
          <cell r="I5" t="str">
            <v>Average of Truss Toss % Effective</v>
          </cell>
          <cell r="J5" t="str">
            <v>Average of  Truss Catch Points</v>
          </cell>
          <cell r="K5" t="str">
            <v>Average of  Truss Catch % Effective</v>
          </cell>
          <cell r="L5" t="str">
            <v>Average of Defense Points</v>
          </cell>
          <cell r="M5" t="str">
            <v>Average of Defense % Effective</v>
          </cell>
        </row>
        <row r="6">
          <cell r="A6">
            <v>48</v>
          </cell>
          <cell r="B6">
            <v>2.5</v>
          </cell>
          <cell r="C6">
            <v>0.10000000000000002</v>
          </cell>
          <cell r="D6">
            <v>6.166666666666667</v>
          </cell>
          <cell r="E6">
            <v>0.59722222222222221</v>
          </cell>
          <cell r="F6">
            <v>20</v>
          </cell>
          <cell r="G6">
            <v>0.16666666666666666</v>
          </cell>
          <cell r="H6">
            <v>5</v>
          </cell>
          <cell r="I6">
            <v>0.33333333333333331</v>
          </cell>
          <cell r="J6">
            <v>0</v>
          </cell>
          <cell r="K6">
            <v>0</v>
          </cell>
          <cell r="L6">
            <v>31.666666666666668</v>
          </cell>
          <cell r="M6">
            <v>0.13095238095238096</v>
          </cell>
        </row>
        <row r="7">
          <cell r="A7">
            <v>81</v>
          </cell>
          <cell r="B7">
            <v>1.6666666666666667</v>
          </cell>
          <cell r="C7">
            <v>6.6666666666666666E-2</v>
          </cell>
          <cell r="D7">
            <v>0.16666666666666666</v>
          </cell>
          <cell r="E7">
            <v>0.20370370370370372</v>
          </cell>
          <cell r="F7">
            <v>8.3333333333333339</v>
          </cell>
          <cell r="G7">
            <v>0.16666666666666666</v>
          </cell>
          <cell r="H7">
            <v>0</v>
          </cell>
          <cell r="I7">
            <v>0</v>
          </cell>
          <cell r="J7">
            <v>0</v>
          </cell>
          <cell r="K7">
            <v>0</v>
          </cell>
          <cell r="L7">
            <v>10</v>
          </cell>
          <cell r="M7">
            <v>3.5714285714285712E-2</v>
          </cell>
        </row>
        <row r="8">
          <cell r="A8">
            <v>93</v>
          </cell>
          <cell r="B8">
            <v>12.5</v>
          </cell>
          <cell r="C8">
            <v>0.5</v>
          </cell>
          <cell r="D8">
            <v>4.333333333333333</v>
          </cell>
          <cell r="E8">
            <v>0.60648148148148151</v>
          </cell>
          <cell r="F8">
            <v>20</v>
          </cell>
          <cell r="G8">
            <v>0</v>
          </cell>
          <cell r="H8">
            <v>5</v>
          </cell>
          <cell r="I8">
            <v>0.16666666666666666</v>
          </cell>
          <cell r="J8">
            <v>0</v>
          </cell>
          <cell r="K8">
            <v>0</v>
          </cell>
          <cell r="L8">
            <v>16.666666666666668</v>
          </cell>
          <cell r="M8">
            <v>5.9523809523809514E-2</v>
          </cell>
        </row>
        <row r="9">
          <cell r="A9">
            <v>111</v>
          </cell>
          <cell r="B9">
            <v>6.666666666666667</v>
          </cell>
          <cell r="C9">
            <v>0.26666666666666666</v>
          </cell>
          <cell r="D9">
            <v>2</v>
          </cell>
          <cell r="E9">
            <v>0.36721511178032912</v>
          </cell>
          <cell r="F9">
            <v>21.666666666666668</v>
          </cell>
          <cell r="G9">
            <v>0</v>
          </cell>
          <cell r="H9">
            <v>10</v>
          </cell>
          <cell r="I9">
            <v>0.5</v>
          </cell>
          <cell r="J9">
            <v>0</v>
          </cell>
          <cell r="K9">
            <v>0</v>
          </cell>
          <cell r="L9">
            <v>30</v>
          </cell>
          <cell r="M9">
            <v>0.10714285714285714</v>
          </cell>
        </row>
        <row r="10">
          <cell r="A10">
            <v>167</v>
          </cell>
          <cell r="B10">
            <v>21.666666666666668</v>
          </cell>
          <cell r="C10">
            <v>0.8666666666666667</v>
          </cell>
          <cell r="D10">
            <v>15.333333333333334</v>
          </cell>
          <cell r="E10">
            <v>0.49350797666736951</v>
          </cell>
          <cell r="F10">
            <v>25</v>
          </cell>
          <cell r="G10">
            <v>0</v>
          </cell>
          <cell r="H10">
            <v>6.666666666666667</v>
          </cell>
          <cell r="I10">
            <v>0.5</v>
          </cell>
          <cell r="J10">
            <v>0</v>
          </cell>
          <cell r="K10">
            <v>0</v>
          </cell>
          <cell r="L10">
            <v>23.333333333333332</v>
          </cell>
          <cell r="M10">
            <v>8.3333333333333329E-2</v>
          </cell>
        </row>
        <row r="11">
          <cell r="A11">
            <v>171</v>
          </cell>
          <cell r="B11">
            <v>12</v>
          </cell>
          <cell r="C11">
            <v>0.48</v>
          </cell>
          <cell r="D11">
            <v>4.8</v>
          </cell>
          <cell r="E11">
            <v>0.45333333333333331</v>
          </cell>
          <cell r="F11">
            <v>22</v>
          </cell>
          <cell r="G11">
            <v>0.2</v>
          </cell>
          <cell r="H11">
            <v>0</v>
          </cell>
          <cell r="I11">
            <v>0</v>
          </cell>
          <cell r="J11">
            <v>0</v>
          </cell>
          <cell r="K11">
            <v>0</v>
          </cell>
          <cell r="L11">
            <v>18</v>
          </cell>
          <cell r="M11">
            <v>6.4285714285714279E-2</v>
          </cell>
        </row>
        <row r="12">
          <cell r="A12">
            <v>192</v>
          </cell>
          <cell r="B12">
            <v>9.1666666666666661</v>
          </cell>
          <cell r="C12">
            <v>0.36666666666666664</v>
          </cell>
          <cell r="D12">
            <v>12.5</v>
          </cell>
          <cell r="E12">
            <v>0.4482623857623857</v>
          </cell>
          <cell r="F12">
            <v>21.666666666666668</v>
          </cell>
          <cell r="G12">
            <v>0</v>
          </cell>
          <cell r="H12">
            <v>1.6666666666666667</v>
          </cell>
          <cell r="I12">
            <v>0.16666666666666666</v>
          </cell>
          <cell r="J12">
            <v>0</v>
          </cell>
          <cell r="K12">
            <v>0</v>
          </cell>
          <cell r="L12">
            <v>10</v>
          </cell>
          <cell r="M12">
            <v>3.5714285714285712E-2</v>
          </cell>
        </row>
        <row r="13">
          <cell r="A13">
            <v>269</v>
          </cell>
          <cell r="B13">
            <v>14.285714285714286</v>
          </cell>
          <cell r="C13">
            <v>0.5714285714285714</v>
          </cell>
          <cell r="D13">
            <v>8.7142857142857135</v>
          </cell>
          <cell r="E13">
            <v>0.32689136260564833</v>
          </cell>
          <cell r="F13">
            <v>8.5714285714285712</v>
          </cell>
          <cell r="G13">
            <v>0</v>
          </cell>
          <cell r="H13">
            <v>2.8571428571428572</v>
          </cell>
          <cell r="I13">
            <v>0.14285714285714285</v>
          </cell>
          <cell r="J13">
            <v>0</v>
          </cell>
          <cell r="K13">
            <v>0</v>
          </cell>
          <cell r="L13">
            <v>5.7142857142857144</v>
          </cell>
          <cell r="M13">
            <v>2.0408163265306121E-2</v>
          </cell>
        </row>
        <row r="14">
          <cell r="A14">
            <v>537</v>
          </cell>
          <cell r="B14">
            <v>20</v>
          </cell>
          <cell r="C14">
            <v>0.8</v>
          </cell>
          <cell r="D14">
            <v>0.25</v>
          </cell>
          <cell r="E14">
            <v>0.27146464646464646</v>
          </cell>
          <cell r="F14">
            <v>17.5</v>
          </cell>
          <cell r="G14">
            <v>0</v>
          </cell>
          <cell r="H14">
            <v>7.5</v>
          </cell>
          <cell r="I14">
            <v>0.25</v>
          </cell>
          <cell r="J14">
            <v>0</v>
          </cell>
          <cell r="K14">
            <v>0</v>
          </cell>
          <cell r="L14">
            <v>37.5</v>
          </cell>
          <cell r="M14">
            <v>0.13392857142857142</v>
          </cell>
        </row>
        <row r="15">
          <cell r="A15">
            <v>706</v>
          </cell>
          <cell r="B15">
            <v>19.285714285714285</v>
          </cell>
          <cell r="C15">
            <v>0.77142857142857146</v>
          </cell>
          <cell r="D15">
            <v>3.5714285714285716</v>
          </cell>
          <cell r="E15">
            <v>0.40591223292836193</v>
          </cell>
          <cell r="F15">
            <v>28.571428571428573</v>
          </cell>
          <cell r="G15">
            <v>0.42857142857142855</v>
          </cell>
          <cell r="H15">
            <v>11.428571428571429</v>
          </cell>
          <cell r="I15">
            <v>0.40476190476190471</v>
          </cell>
          <cell r="J15">
            <v>0</v>
          </cell>
          <cell r="K15">
            <v>0</v>
          </cell>
          <cell r="L15">
            <v>30</v>
          </cell>
          <cell r="M15">
            <v>0.10714285714285714</v>
          </cell>
        </row>
        <row r="16">
          <cell r="A16">
            <v>876</v>
          </cell>
          <cell r="B16">
            <v>8.3333333333333339</v>
          </cell>
          <cell r="C16">
            <v>0.33333333333333331</v>
          </cell>
          <cell r="D16">
            <v>4.333333333333333</v>
          </cell>
          <cell r="E16">
            <v>0.56565656565656564</v>
          </cell>
          <cell r="F16">
            <v>13.333333333333334</v>
          </cell>
          <cell r="G16">
            <v>0</v>
          </cell>
          <cell r="H16">
            <v>3.3333333333333335</v>
          </cell>
          <cell r="I16">
            <v>0.33333333333333331</v>
          </cell>
          <cell r="J16">
            <v>0</v>
          </cell>
          <cell r="K16">
            <v>0</v>
          </cell>
          <cell r="L16">
            <v>53.333333333333336</v>
          </cell>
          <cell r="M16">
            <v>0.29761904761904762</v>
          </cell>
        </row>
        <row r="17">
          <cell r="A17">
            <v>930</v>
          </cell>
          <cell r="B17">
            <v>21.25</v>
          </cell>
          <cell r="C17">
            <v>0.85000000000000009</v>
          </cell>
          <cell r="D17">
            <v>3</v>
          </cell>
          <cell r="E17">
            <v>0.14267676767676768</v>
          </cell>
          <cell r="F17">
            <v>10</v>
          </cell>
          <cell r="G17">
            <v>0.25</v>
          </cell>
          <cell r="H17">
            <v>0</v>
          </cell>
          <cell r="I17">
            <v>0</v>
          </cell>
          <cell r="J17">
            <v>0</v>
          </cell>
          <cell r="K17">
            <v>0</v>
          </cell>
          <cell r="L17">
            <v>15</v>
          </cell>
          <cell r="M17">
            <v>5.3571428571428568E-2</v>
          </cell>
        </row>
        <row r="18">
          <cell r="A18">
            <v>938</v>
          </cell>
          <cell r="B18">
            <v>14</v>
          </cell>
          <cell r="C18">
            <v>0.55999999999999994</v>
          </cell>
          <cell r="D18">
            <v>0.2</v>
          </cell>
          <cell r="E18">
            <v>0.42222222222222222</v>
          </cell>
          <cell r="F18">
            <v>16</v>
          </cell>
          <cell r="G18">
            <v>0</v>
          </cell>
          <cell r="H18">
            <v>2</v>
          </cell>
          <cell r="I18">
            <v>0.2</v>
          </cell>
          <cell r="J18">
            <v>0</v>
          </cell>
          <cell r="K18">
            <v>0</v>
          </cell>
          <cell r="L18">
            <v>4</v>
          </cell>
          <cell r="M18">
            <v>1.4285714285714285E-2</v>
          </cell>
        </row>
        <row r="19">
          <cell r="A19">
            <v>1091</v>
          </cell>
          <cell r="B19">
            <v>3</v>
          </cell>
          <cell r="C19">
            <v>0.12000000000000002</v>
          </cell>
          <cell r="D19">
            <v>0.8</v>
          </cell>
          <cell r="E19">
            <v>0.32222222222222219</v>
          </cell>
          <cell r="F19">
            <v>16</v>
          </cell>
          <cell r="G19">
            <v>0.2</v>
          </cell>
          <cell r="H19">
            <v>0</v>
          </cell>
          <cell r="I19">
            <v>0</v>
          </cell>
          <cell r="J19">
            <v>0</v>
          </cell>
          <cell r="K19">
            <v>0</v>
          </cell>
          <cell r="L19">
            <v>6</v>
          </cell>
          <cell r="M19">
            <v>2.1428571428571429E-2</v>
          </cell>
        </row>
        <row r="20">
          <cell r="A20">
            <v>1259</v>
          </cell>
          <cell r="B20">
            <v>19</v>
          </cell>
          <cell r="C20">
            <v>0.76</v>
          </cell>
          <cell r="D20">
            <v>2.4</v>
          </cell>
          <cell r="E20">
            <v>0.50063538611925718</v>
          </cell>
          <cell r="F20">
            <v>26</v>
          </cell>
          <cell r="G20">
            <v>0</v>
          </cell>
          <cell r="H20">
            <v>14</v>
          </cell>
          <cell r="I20">
            <v>0.55000000000000004</v>
          </cell>
          <cell r="J20">
            <v>0</v>
          </cell>
          <cell r="K20">
            <v>0</v>
          </cell>
          <cell r="L20">
            <v>28</v>
          </cell>
          <cell r="M20">
            <v>9.9999999999999992E-2</v>
          </cell>
        </row>
        <row r="21">
          <cell r="A21">
            <v>1306</v>
          </cell>
          <cell r="B21">
            <v>1.6666666666666667</v>
          </cell>
          <cell r="C21">
            <v>6.6666666666666666E-2</v>
          </cell>
          <cell r="D21">
            <v>0</v>
          </cell>
          <cell r="E21">
            <v>0</v>
          </cell>
          <cell r="F21">
            <v>0</v>
          </cell>
          <cell r="G21">
            <v>0</v>
          </cell>
          <cell r="H21">
            <v>0</v>
          </cell>
          <cell r="I21">
            <v>0</v>
          </cell>
          <cell r="J21">
            <v>0</v>
          </cell>
          <cell r="K21">
            <v>0</v>
          </cell>
          <cell r="L21">
            <v>53.333333333333336</v>
          </cell>
          <cell r="M21">
            <v>0.19047619047619047</v>
          </cell>
        </row>
        <row r="22">
          <cell r="A22">
            <v>1622</v>
          </cell>
          <cell r="B22">
            <v>18.75</v>
          </cell>
          <cell r="C22">
            <v>0.75</v>
          </cell>
          <cell r="D22">
            <v>0.75</v>
          </cell>
          <cell r="E22">
            <v>0.24571938901207191</v>
          </cell>
          <cell r="F22">
            <v>7.5</v>
          </cell>
          <cell r="G22">
            <v>0</v>
          </cell>
          <cell r="H22">
            <v>2.5</v>
          </cell>
          <cell r="I22">
            <v>8.3333333333333329E-2</v>
          </cell>
          <cell r="J22">
            <v>0</v>
          </cell>
          <cell r="K22">
            <v>0</v>
          </cell>
          <cell r="L22">
            <v>45</v>
          </cell>
          <cell r="M22">
            <v>0.1607142857142857</v>
          </cell>
        </row>
        <row r="23">
          <cell r="A23">
            <v>1625</v>
          </cell>
          <cell r="B23">
            <v>20</v>
          </cell>
          <cell r="C23">
            <v>0.8</v>
          </cell>
          <cell r="D23">
            <v>7.2857142857142856</v>
          </cell>
          <cell r="E23">
            <v>0.10241545893719806</v>
          </cell>
          <cell r="F23">
            <v>7.1428571428571432</v>
          </cell>
          <cell r="G23">
            <v>0</v>
          </cell>
          <cell r="H23">
            <v>0</v>
          </cell>
          <cell r="I23">
            <v>0</v>
          </cell>
          <cell r="J23">
            <v>0</v>
          </cell>
          <cell r="K23">
            <v>0</v>
          </cell>
          <cell r="L23">
            <v>21.428571428571427</v>
          </cell>
          <cell r="M23">
            <v>7.6530612244897961E-2</v>
          </cell>
        </row>
        <row r="24">
          <cell r="A24">
            <v>1675</v>
          </cell>
          <cell r="B24">
            <v>9.2857142857142865</v>
          </cell>
          <cell r="C24">
            <v>0.37142857142857144</v>
          </cell>
          <cell r="D24">
            <v>6.4285714285714288</v>
          </cell>
          <cell r="E24">
            <v>0.62390873015873016</v>
          </cell>
          <cell r="F24">
            <v>27.142857142857142</v>
          </cell>
          <cell r="G24">
            <v>0.14285714285714285</v>
          </cell>
          <cell r="H24">
            <v>11.428571428571429</v>
          </cell>
          <cell r="I24">
            <v>0.5714285714285714</v>
          </cell>
          <cell r="J24">
            <v>0</v>
          </cell>
          <cell r="K24">
            <v>0</v>
          </cell>
          <cell r="L24">
            <v>7.1428571428571432</v>
          </cell>
          <cell r="M24">
            <v>2.551020408163265E-2</v>
          </cell>
        </row>
        <row r="25">
          <cell r="A25">
            <v>1714</v>
          </cell>
          <cell r="B25">
            <v>23.125</v>
          </cell>
          <cell r="C25">
            <v>0.92499999999999982</v>
          </cell>
          <cell r="D25">
            <v>16.375</v>
          </cell>
          <cell r="E25">
            <v>0.53617216117216115</v>
          </cell>
          <cell r="F25">
            <v>18.75</v>
          </cell>
          <cell r="G25">
            <v>0</v>
          </cell>
          <cell r="H25">
            <v>8.75</v>
          </cell>
          <cell r="I25">
            <v>0.5</v>
          </cell>
          <cell r="J25">
            <v>0</v>
          </cell>
          <cell r="K25">
            <v>0</v>
          </cell>
          <cell r="L25">
            <v>22.5</v>
          </cell>
          <cell r="M25">
            <v>8.0357142857142849E-2</v>
          </cell>
        </row>
        <row r="26">
          <cell r="A26">
            <v>1716</v>
          </cell>
          <cell r="B26">
            <v>4</v>
          </cell>
          <cell r="C26">
            <v>0.16</v>
          </cell>
          <cell r="D26">
            <v>0</v>
          </cell>
          <cell r="E26">
            <v>0.13333333333333333</v>
          </cell>
          <cell r="F26">
            <v>4</v>
          </cell>
          <cell r="G26">
            <v>0</v>
          </cell>
          <cell r="H26">
            <v>0</v>
          </cell>
          <cell r="I26">
            <v>0</v>
          </cell>
          <cell r="J26">
            <v>0</v>
          </cell>
          <cell r="K26">
            <v>0</v>
          </cell>
          <cell r="L26">
            <v>26</v>
          </cell>
          <cell r="M26">
            <v>9.285714285714286E-2</v>
          </cell>
        </row>
        <row r="27">
          <cell r="A27">
            <v>1732</v>
          </cell>
          <cell r="B27">
            <v>29</v>
          </cell>
          <cell r="C27">
            <v>1.1600000000000001</v>
          </cell>
          <cell r="D27">
            <v>16.399999999999999</v>
          </cell>
          <cell r="E27">
            <v>0.80865335381464409</v>
          </cell>
          <cell r="F27">
            <v>32</v>
          </cell>
          <cell r="G27">
            <v>0</v>
          </cell>
          <cell r="H27">
            <v>16</v>
          </cell>
          <cell r="I27">
            <v>0.7</v>
          </cell>
          <cell r="J27">
            <v>0</v>
          </cell>
          <cell r="K27">
            <v>0</v>
          </cell>
          <cell r="L27">
            <v>38</v>
          </cell>
          <cell r="M27">
            <v>0.1357142857142857</v>
          </cell>
        </row>
        <row r="28">
          <cell r="A28">
            <v>1736</v>
          </cell>
          <cell r="B28">
            <v>16.666666666666668</v>
          </cell>
          <cell r="C28">
            <v>0.66666666666666663</v>
          </cell>
          <cell r="D28">
            <v>0.33333333333333331</v>
          </cell>
          <cell r="E28">
            <v>0.47835497835497831</v>
          </cell>
          <cell r="F28">
            <v>23.333333333333332</v>
          </cell>
          <cell r="G28">
            <v>0</v>
          </cell>
          <cell r="H28">
            <v>16.666666666666668</v>
          </cell>
          <cell r="I28">
            <v>0.72222222222222221</v>
          </cell>
          <cell r="J28">
            <v>0</v>
          </cell>
          <cell r="K28">
            <v>0</v>
          </cell>
          <cell r="L28">
            <v>65</v>
          </cell>
          <cell r="M28">
            <v>0.32142857142857145</v>
          </cell>
        </row>
        <row r="29">
          <cell r="A29">
            <v>2039</v>
          </cell>
          <cell r="B29">
            <v>10</v>
          </cell>
          <cell r="C29">
            <v>0.39999999999999997</v>
          </cell>
          <cell r="D29">
            <v>0.66666666666666663</v>
          </cell>
          <cell r="E29">
            <v>0.14515114515114516</v>
          </cell>
          <cell r="F29">
            <v>10</v>
          </cell>
          <cell r="G29">
            <v>0</v>
          </cell>
          <cell r="H29">
            <v>3.3333333333333335</v>
          </cell>
          <cell r="I29">
            <v>0.33333333333333331</v>
          </cell>
          <cell r="J29">
            <v>0</v>
          </cell>
          <cell r="K29">
            <v>0</v>
          </cell>
          <cell r="L29">
            <v>26.666666666666668</v>
          </cell>
          <cell r="M29">
            <v>0.13095238095238093</v>
          </cell>
        </row>
        <row r="30">
          <cell r="A30">
            <v>2040</v>
          </cell>
          <cell r="B30">
            <v>3.5714285714285716</v>
          </cell>
          <cell r="C30">
            <v>0.14285714285714285</v>
          </cell>
          <cell r="D30">
            <v>0.42857142857142855</v>
          </cell>
          <cell r="E30">
            <v>0.30158730158730157</v>
          </cell>
          <cell r="F30">
            <v>11.428571428571429</v>
          </cell>
          <cell r="G30">
            <v>0.14285714285714285</v>
          </cell>
          <cell r="H30">
            <v>5.7142857142857144</v>
          </cell>
          <cell r="I30">
            <v>0.2857142857142857</v>
          </cell>
          <cell r="J30">
            <v>0</v>
          </cell>
          <cell r="K30">
            <v>0</v>
          </cell>
          <cell r="L30">
            <v>42.857142857142854</v>
          </cell>
          <cell r="M30">
            <v>0.15306122448979592</v>
          </cell>
        </row>
        <row r="31">
          <cell r="A31">
            <v>2062</v>
          </cell>
          <cell r="B31">
            <v>6.666666666666667</v>
          </cell>
          <cell r="C31">
            <v>0.26666666666666666</v>
          </cell>
          <cell r="D31">
            <v>4.833333333333333</v>
          </cell>
          <cell r="E31">
            <v>0.29146432271432271</v>
          </cell>
          <cell r="F31">
            <v>23.333333333333332</v>
          </cell>
          <cell r="G31">
            <v>0</v>
          </cell>
          <cell r="H31">
            <v>5</v>
          </cell>
          <cell r="I31">
            <v>0.33333333333333331</v>
          </cell>
          <cell r="J31">
            <v>1.6666666666666667</v>
          </cell>
          <cell r="K31">
            <v>0.16666666666666666</v>
          </cell>
          <cell r="L31">
            <v>3.3333333333333335</v>
          </cell>
          <cell r="M31">
            <v>1.1904761904761904E-2</v>
          </cell>
        </row>
        <row r="32">
          <cell r="A32">
            <v>2077</v>
          </cell>
          <cell r="B32">
            <v>1</v>
          </cell>
          <cell r="C32">
            <v>0.04</v>
          </cell>
          <cell r="D32">
            <v>0</v>
          </cell>
          <cell r="E32">
            <v>8.8888888888888878E-2</v>
          </cell>
          <cell r="F32">
            <v>6</v>
          </cell>
          <cell r="G32">
            <v>0.2</v>
          </cell>
          <cell r="H32">
            <v>0</v>
          </cell>
          <cell r="I32">
            <v>0</v>
          </cell>
          <cell r="J32">
            <v>0</v>
          </cell>
          <cell r="K32">
            <v>0</v>
          </cell>
          <cell r="L32">
            <v>6</v>
          </cell>
          <cell r="M32">
            <v>2.1428571428571429E-2</v>
          </cell>
        </row>
        <row r="33">
          <cell r="A33">
            <v>2081</v>
          </cell>
          <cell r="B33">
            <v>22.5</v>
          </cell>
          <cell r="C33">
            <v>0.9</v>
          </cell>
          <cell r="D33">
            <v>6.25</v>
          </cell>
          <cell r="E33">
            <v>0.23830012077294688</v>
          </cell>
          <cell r="F33">
            <v>20</v>
          </cell>
          <cell r="G33">
            <v>0</v>
          </cell>
          <cell r="H33">
            <v>2.5</v>
          </cell>
          <cell r="I33">
            <v>0.25</v>
          </cell>
          <cell r="J33">
            <v>0</v>
          </cell>
          <cell r="K33">
            <v>0</v>
          </cell>
          <cell r="L33">
            <v>37.5</v>
          </cell>
          <cell r="M33">
            <v>0.13392857142857142</v>
          </cell>
        </row>
        <row r="34">
          <cell r="A34">
            <v>2194</v>
          </cell>
          <cell r="B34">
            <v>13.75</v>
          </cell>
          <cell r="C34">
            <v>0.55000000000000004</v>
          </cell>
          <cell r="D34">
            <v>0.75</v>
          </cell>
          <cell r="E34">
            <v>0.58333333333333326</v>
          </cell>
          <cell r="F34">
            <v>17.5</v>
          </cell>
          <cell r="G34">
            <v>0.25</v>
          </cell>
          <cell r="H34">
            <v>5</v>
          </cell>
          <cell r="I34">
            <v>0.25</v>
          </cell>
          <cell r="J34">
            <v>0</v>
          </cell>
          <cell r="K34">
            <v>0</v>
          </cell>
          <cell r="L34">
            <v>2.5</v>
          </cell>
          <cell r="M34">
            <v>8.9285714285714281E-3</v>
          </cell>
        </row>
        <row r="35">
          <cell r="A35">
            <v>2202</v>
          </cell>
          <cell r="B35">
            <v>21.666666666666668</v>
          </cell>
          <cell r="C35">
            <v>0.86666666666666659</v>
          </cell>
          <cell r="D35">
            <v>0</v>
          </cell>
          <cell r="E35">
            <v>0.44635076252723316</v>
          </cell>
          <cell r="F35">
            <v>23.333333333333332</v>
          </cell>
          <cell r="G35">
            <v>0.33333333333333331</v>
          </cell>
          <cell r="H35">
            <v>16.666666666666668</v>
          </cell>
          <cell r="I35">
            <v>0.66666666666666663</v>
          </cell>
          <cell r="J35">
            <v>0</v>
          </cell>
          <cell r="K35">
            <v>0</v>
          </cell>
          <cell r="L35">
            <v>6.666666666666667</v>
          </cell>
          <cell r="M35">
            <v>2.3809523809523808E-2</v>
          </cell>
        </row>
        <row r="36">
          <cell r="A36">
            <v>2470</v>
          </cell>
          <cell r="B36">
            <v>1.25</v>
          </cell>
          <cell r="C36">
            <v>0.05</v>
          </cell>
          <cell r="D36">
            <v>2.5</v>
          </cell>
          <cell r="E36">
            <v>0.40054390054390054</v>
          </cell>
          <cell r="F36">
            <v>20</v>
          </cell>
          <cell r="G36">
            <v>0</v>
          </cell>
          <cell r="H36">
            <v>5</v>
          </cell>
          <cell r="I36">
            <v>0.25</v>
          </cell>
          <cell r="J36">
            <v>2.5</v>
          </cell>
          <cell r="K36">
            <v>0.25</v>
          </cell>
          <cell r="L36">
            <v>12.5</v>
          </cell>
          <cell r="M36">
            <v>4.4642857142857137E-2</v>
          </cell>
        </row>
        <row r="37">
          <cell r="A37">
            <v>2481</v>
          </cell>
          <cell r="B37">
            <v>22.5</v>
          </cell>
          <cell r="C37">
            <v>0.89999999999999991</v>
          </cell>
          <cell r="D37">
            <v>22.75</v>
          </cell>
          <cell r="E37">
            <v>0.33047870004391738</v>
          </cell>
          <cell r="F37">
            <v>20</v>
          </cell>
          <cell r="G37">
            <v>0</v>
          </cell>
          <cell r="H37">
            <v>0</v>
          </cell>
          <cell r="I37">
            <v>0</v>
          </cell>
          <cell r="J37">
            <v>0</v>
          </cell>
          <cell r="K37">
            <v>0</v>
          </cell>
          <cell r="L37">
            <v>20</v>
          </cell>
          <cell r="M37">
            <v>7.1428571428571425E-2</v>
          </cell>
        </row>
        <row r="38">
          <cell r="A38">
            <v>2512</v>
          </cell>
          <cell r="B38">
            <v>20</v>
          </cell>
          <cell r="C38">
            <v>0.80000000000000016</v>
          </cell>
          <cell r="D38">
            <v>1.3333333333333333</v>
          </cell>
          <cell r="E38">
            <v>0.57575757575757569</v>
          </cell>
          <cell r="F38">
            <v>20</v>
          </cell>
          <cell r="G38">
            <v>0</v>
          </cell>
          <cell r="H38">
            <v>10</v>
          </cell>
          <cell r="I38">
            <v>0.66666666666666663</v>
          </cell>
          <cell r="J38">
            <v>0</v>
          </cell>
          <cell r="K38">
            <v>0</v>
          </cell>
          <cell r="L38">
            <v>20</v>
          </cell>
          <cell r="M38">
            <v>7.1428571428571425E-2</v>
          </cell>
        </row>
        <row r="39">
          <cell r="A39">
            <v>2530</v>
          </cell>
          <cell r="B39">
            <v>18.333333333333332</v>
          </cell>
          <cell r="C39">
            <v>0.73333333333333339</v>
          </cell>
          <cell r="D39">
            <v>0.16666666666666666</v>
          </cell>
          <cell r="E39">
            <v>0.38930976430976427</v>
          </cell>
          <cell r="F39">
            <v>15</v>
          </cell>
          <cell r="G39">
            <v>0</v>
          </cell>
          <cell r="H39">
            <v>8.3333333333333339</v>
          </cell>
          <cell r="I39">
            <v>0.5</v>
          </cell>
          <cell r="J39">
            <v>0</v>
          </cell>
          <cell r="K39">
            <v>0</v>
          </cell>
          <cell r="L39">
            <v>5</v>
          </cell>
          <cell r="M39">
            <v>1.7857142857142856E-2</v>
          </cell>
        </row>
        <row r="40">
          <cell r="A40">
            <v>2705</v>
          </cell>
          <cell r="B40">
            <v>12.5</v>
          </cell>
          <cell r="C40">
            <v>0.5</v>
          </cell>
          <cell r="D40">
            <v>18.666666666666668</v>
          </cell>
          <cell r="E40">
            <v>0.35936797875444304</v>
          </cell>
          <cell r="F40">
            <v>28.333333333333332</v>
          </cell>
          <cell r="G40">
            <v>0.16666666666666666</v>
          </cell>
          <cell r="H40">
            <v>1.6666666666666667</v>
          </cell>
          <cell r="I40">
            <v>8.3333333333333329E-2</v>
          </cell>
          <cell r="J40">
            <v>0</v>
          </cell>
          <cell r="K40">
            <v>0</v>
          </cell>
          <cell r="L40">
            <v>1.6666666666666667</v>
          </cell>
          <cell r="M40">
            <v>5.9523809523809521E-3</v>
          </cell>
        </row>
        <row r="41">
          <cell r="A41">
            <v>2826</v>
          </cell>
          <cell r="B41">
            <v>7.5</v>
          </cell>
          <cell r="C41">
            <v>0.3</v>
          </cell>
          <cell r="D41">
            <v>6.5</v>
          </cell>
          <cell r="E41">
            <v>0.44620310245310241</v>
          </cell>
          <cell r="F41">
            <v>20</v>
          </cell>
          <cell r="G41">
            <v>0.25</v>
          </cell>
          <cell r="H41">
            <v>2.5</v>
          </cell>
          <cell r="I41">
            <v>0.25</v>
          </cell>
          <cell r="J41">
            <v>0</v>
          </cell>
          <cell r="K41">
            <v>0</v>
          </cell>
          <cell r="L41">
            <v>12.5</v>
          </cell>
          <cell r="M41">
            <v>4.4642857142857137E-2</v>
          </cell>
        </row>
        <row r="42">
          <cell r="A42">
            <v>2830</v>
          </cell>
          <cell r="B42">
            <v>0</v>
          </cell>
          <cell r="C42">
            <v>0</v>
          </cell>
          <cell r="D42">
            <v>0</v>
          </cell>
          <cell r="E42">
            <v>0.16666666666666666</v>
          </cell>
          <cell r="F42">
            <v>5</v>
          </cell>
          <cell r="G42">
            <v>0</v>
          </cell>
          <cell r="H42">
            <v>0</v>
          </cell>
          <cell r="I42">
            <v>0</v>
          </cell>
          <cell r="J42">
            <v>0</v>
          </cell>
          <cell r="K42">
            <v>0</v>
          </cell>
          <cell r="L42">
            <v>3.3333333333333335</v>
          </cell>
          <cell r="M42">
            <v>1.1904761904761904E-2</v>
          </cell>
        </row>
        <row r="43">
          <cell r="A43">
            <v>3018</v>
          </cell>
          <cell r="B43">
            <v>20</v>
          </cell>
          <cell r="C43">
            <v>0.8</v>
          </cell>
          <cell r="D43">
            <v>10</v>
          </cell>
          <cell r="E43">
            <v>0.28888888888888886</v>
          </cell>
          <cell r="F43">
            <v>8</v>
          </cell>
          <cell r="G43">
            <v>0</v>
          </cell>
          <cell r="H43">
            <v>0</v>
          </cell>
          <cell r="I43">
            <v>0</v>
          </cell>
          <cell r="J43">
            <v>0</v>
          </cell>
          <cell r="K43">
            <v>0</v>
          </cell>
          <cell r="L43">
            <v>32</v>
          </cell>
          <cell r="M43">
            <v>0.11428571428571428</v>
          </cell>
        </row>
        <row r="44">
          <cell r="A44">
            <v>3081</v>
          </cell>
          <cell r="B44">
            <v>4</v>
          </cell>
          <cell r="C44">
            <v>0.16</v>
          </cell>
          <cell r="D44">
            <v>0</v>
          </cell>
          <cell r="E44">
            <v>0</v>
          </cell>
          <cell r="F44">
            <v>0</v>
          </cell>
          <cell r="G44">
            <v>0</v>
          </cell>
          <cell r="H44">
            <v>0</v>
          </cell>
          <cell r="I44">
            <v>0</v>
          </cell>
          <cell r="J44">
            <v>0</v>
          </cell>
          <cell r="K44">
            <v>0</v>
          </cell>
          <cell r="L44">
            <v>20</v>
          </cell>
          <cell r="M44">
            <v>7.1428571428571425E-2</v>
          </cell>
        </row>
        <row r="45">
          <cell r="A45">
            <v>3135</v>
          </cell>
          <cell r="B45">
            <v>0</v>
          </cell>
          <cell r="C45">
            <v>0</v>
          </cell>
          <cell r="D45">
            <v>0</v>
          </cell>
          <cell r="E45">
            <v>0</v>
          </cell>
          <cell r="F45">
            <v>0</v>
          </cell>
          <cell r="G45">
            <v>0</v>
          </cell>
          <cell r="H45">
            <v>0</v>
          </cell>
          <cell r="I45">
            <v>0</v>
          </cell>
          <cell r="J45">
            <v>0</v>
          </cell>
          <cell r="K45">
            <v>0</v>
          </cell>
          <cell r="L45">
            <v>0</v>
          </cell>
          <cell r="M45">
            <v>0</v>
          </cell>
        </row>
        <row r="46">
          <cell r="A46">
            <v>3197</v>
          </cell>
          <cell r="B46">
            <v>8.3333333333333339</v>
          </cell>
          <cell r="C46">
            <v>0.33333333333333331</v>
          </cell>
          <cell r="D46">
            <v>3.6666666666666665</v>
          </cell>
          <cell r="E46">
            <v>0.22830872830872828</v>
          </cell>
          <cell r="F46">
            <v>11.666666666666666</v>
          </cell>
          <cell r="G46">
            <v>0</v>
          </cell>
          <cell r="H46">
            <v>3.3333333333333335</v>
          </cell>
          <cell r="I46">
            <v>0.1111111111111111</v>
          </cell>
          <cell r="J46">
            <v>0</v>
          </cell>
          <cell r="K46">
            <v>0</v>
          </cell>
          <cell r="L46">
            <v>0</v>
          </cell>
          <cell r="M46">
            <v>0</v>
          </cell>
        </row>
        <row r="47">
          <cell r="A47">
            <v>3300</v>
          </cell>
          <cell r="B47">
            <v>5</v>
          </cell>
          <cell r="C47">
            <v>0.20000000000000004</v>
          </cell>
          <cell r="D47">
            <v>0.66666666666666663</v>
          </cell>
          <cell r="E47">
            <v>0.34343434343434343</v>
          </cell>
          <cell r="F47">
            <v>10</v>
          </cell>
          <cell r="G47">
            <v>0</v>
          </cell>
          <cell r="H47">
            <v>0</v>
          </cell>
          <cell r="I47">
            <v>0</v>
          </cell>
          <cell r="J47">
            <v>0</v>
          </cell>
          <cell r="K47">
            <v>0</v>
          </cell>
          <cell r="L47">
            <v>16.666666666666668</v>
          </cell>
          <cell r="M47">
            <v>5.9523809523809514E-2</v>
          </cell>
        </row>
        <row r="48">
          <cell r="A48">
            <v>3381</v>
          </cell>
          <cell r="B48">
            <v>10</v>
          </cell>
          <cell r="C48">
            <v>0.39999999999999997</v>
          </cell>
          <cell r="D48">
            <v>2.75</v>
          </cell>
          <cell r="E48">
            <v>0.47916666666666663</v>
          </cell>
          <cell r="F48">
            <v>15</v>
          </cell>
          <cell r="G48">
            <v>0</v>
          </cell>
          <cell r="H48">
            <v>2.5</v>
          </cell>
          <cell r="I48">
            <v>0.25</v>
          </cell>
          <cell r="J48">
            <v>0</v>
          </cell>
          <cell r="K48">
            <v>0</v>
          </cell>
          <cell r="L48">
            <v>15</v>
          </cell>
          <cell r="M48">
            <v>5.3571428571428568E-2</v>
          </cell>
        </row>
        <row r="49">
          <cell r="A49">
            <v>3418</v>
          </cell>
          <cell r="B49">
            <v>12.142857142857142</v>
          </cell>
          <cell r="C49">
            <v>0.48571428571428577</v>
          </cell>
          <cell r="D49">
            <v>7.2857142857142856</v>
          </cell>
          <cell r="E49">
            <v>0.30097680097680096</v>
          </cell>
          <cell r="F49">
            <v>10</v>
          </cell>
          <cell r="G49">
            <v>0.14285714285714285</v>
          </cell>
          <cell r="H49">
            <v>0</v>
          </cell>
          <cell r="I49">
            <v>0</v>
          </cell>
          <cell r="J49">
            <v>0</v>
          </cell>
          <cell r="K49">
            <v>0</v>
          </cell>
          <cell r="L49">
            <v>55.714285714285715</v>
          </cell>
          <cell r="M49">
            <v>0.21428571428571427</v>
          </cell>
        </row>
        <row r="50">
          <cell r="A50">
            <v>3596</v>
          </cell>
          <cell r="B50">
            <v>0</v>
          </cell>
          <cell r="C50">
            <v>0</v>
          </cell>
          <cell r="D50">
            <v>0.75</v>
          </cell>
          <cell r="E50">
            <v>0.43055555555555552</v>
          </cell>
          <cell r="F50">
            <v>12.5</v>
          </cell>
          <cell r="G50">
            <v>0</v>
          </cell>
          <cell r="H50">
            <v>2.5</v>
          </cell>
          <cell r="I50">
            <v>0.25</v>
          </cell>
          <cell r="J50">
            <v>0</v>
          </cell>
          <cell r="K50">
            <v>0</v>
          </cell>
          <cell r="L50">
            <v>7.5</v>
          </cell>
          <cell r="M50">
            <v>2.6785714285714284E-2</v>
          </cell>
        </row>
        <row r="51">
          <cell r="A51">
            <v>3692</v>
          </cell>
          <cell r="B51">
            <v>10</v>
          </cell>
          <cell r="C51">
            <v>0.4</v>
          </cell>
          <cell r="D51">
            <v>0.4</v>
          </cell>
          <cell r="E51">
            <v>0.40606060606060607</v>
          </cell>
          <cell r="F51">
            <v>18</v>
          </cell>
          <cell r="G51">
            <v>0</v>
          </cell>
          <cell r="H51">
            <v>6</v>
          </cell>
          <cell r="I51">
            <v>0.2</v>
          </cell>
          <cell r="J51">
            <v>0</v>
          </cell>
          <cell r="K51">
            <v>0</v>
          </cell>
          <cell r="L51">
            <v>46</v>
          </cell>
          <cell r="M51">
            <v>0.16428571428571428</v>
          </cell>
        </row>
        <row r="52">
          <cell r="A52">
            <v>3734</v>
          </cell>
          <cell r="B52">
            <v>1.25</v>
          </cell>
          <cell r="C52">
            <v>0.05</v>
          </cell>
          <cell r="D52">
            <v>0</v>
          </cell>
          <cell r="E52">
            <v>0</v>
          </cell>
          <cell r="F52">
            <v>0</v>
          </cell>
          <cell r="G52">
            <v>0</v>
          </cell>
          <cell r="H52">
            <v>0</v>
          </cell>
          <cell r="I52">
            <v>0</v>
          </cell>
          <cell r="J52">
            <v>0</v>
          </cell>
          <cell r="K52">
            <v>0</v>
          </cell>
          <cell r="L52">
            <v>0</v>
          </cell>
          <cell r="M52">
            <v>0</v>
          </cell>
        </row>
        <row r="53">
          <cell r="A53">
            <v>3737</v>
          </cell>
          <cell r="B53">
            <v>0</v>
          </cell>
          <cell r="C53">
            <v>0</v>
          </cell>
          <cell r="D53">
            <v>0</v>
          </cell>
          <cell r="E53">
            <v>0</v>
          </cell>
          <cell r="F53">
            <v>0</v>
          </cell>
          <cell r="G53">
            <v>0</v>
          </cell>
          <cell r="H53">
            <v>0</v>
          </cell>
          <cell r="I53">
            <v>0</v>
          </cell>
          <cell r="J53">
            <v>0</v>
          </cell>
          <cell r="K53">
            <v>0</v>
          </cell>
          <cell r="L53">
            <v>100</v>
          </cell>
          <cell r="M53">
            <v>0.35714285714285715</v>
          </cell>
        </row>
        <row r="54">
          <cell r="A54">
            <v>4095</v>
          </cell>
          <cell r="B54">
            <v>0</v>
          </cell>
          <cell r="C54">
            <v>0</v>
          </cell>
          <cell r="D54">
            <v>0</v>
          </cell>
          <cell r="E54">
            <v>0</v>
          </cell>
          <cell r="F54">
            <v>0</v>
          </cell>
          <cell r="G54">
            <v>0</v>
          </cell>
          <cell r="H54">
            <v>0</v>
          </cell>
          <cell r="I54">
            <v>0</v>
          </cell>
          <cell r="J54">
            <v>0</v>
          </cell>
          <cell r="K54">
            <v>0</v>
          </cell>
          <cell r="L54">
            <v>20</v>
          </cell>
          <cell r="M54">
            <v>7.1428571428571425E-2</v>
          </cell>
        </row>
        <row r="55">
          <cell r="A55">
            <v>4143</v>
          </cell>
          <cell r="B55">
            <v>7</v>
          </cell>
          <cell r="C55">
            <v>0.28000000000000003</v>
          </cell>
          <cell r="D55">
            <v>1</v>
          </cell>
          <cell r="E55">
            <v>0.47715053763440862</v>
          </cell>
          <cell r="F55">
            <v>12</v>
          </cell>
          <cell r="G55">
            <v>0.4</v>
          </cell>
          <cell r="H55">
            <v>6</v>
          </cell>
          <cell r="I55">
            <v>0.4</v>
          </cell>
          <cell r="J55">
            <v>2</v>
          </cell>
          <cell r="K55">
            <v>0.2</v>
          </cell>
          <cell r="L55">
            <v>16</v>
          </cell>
          <cell r="M55">
            <v>5.7142857142857141E-2</v>
          </cell>
        </row>
        <row r="56">
          <cell r="A56">
            <v>4212</v>
          </cell>
          <cell r="B56">
            <v>6.4285714285714288</v>
          </cell>
          <cell r="C56">
            <v>0.25714285714285712</v>
          </cell>
          <cell r="D56">
            <v>3.4285714285714284</v>
          </cell>
          <cell r="E56">
            <v>0.27468230694037138</v>
          </cell>
          <cell r="F56">
            <v>8.5714285714285712</v>
          </cell>
          <cell r="G56">
            <v>0</v>
          </cell>
          <cell r="H56">
            <v>4.2857142857142856</v>
          </cell>
          <cell r="I56">
            <v>0.2857142857142857</v>
          </cell>
          <cell r="J56">
            <v>2.8571428571428572</v>
          </cell>
          <cell r="K56">
            <v>0.14285714285714285</v>
          </cell>
          <cell r="L56">
            <v>14.285714285714286</v>
          </cell>
          <cell r="M56">
            <v>5.10204081632653E-2</v>
          </cell>
        </row>
        <row r="57">
          <cell r="A57">
            <v>4247</v>
          </cell>
          <cell r="B57">
            <v>3</v>
          </cell>
          <cell r="C57">
            <v>0.12000000000000002</v>
          </cell>
          <cell r="D57">
            <v>0</v>
          </cell>
          <cell r="E57">
            <v>0.14444444444444443</v>
          </cell>
          <cell r="F57">
            <v>4</v>
          </cell>
          <cell r="G57">
            <v>0</v>
          </cell>
          <cell r="H57">
            <v>6</v>
          </cell>
          <cell r="I57">
            <v>0.3</v>
          </cell>
          <cell r="J57">
            <v>0</v>
          </cell>
          <cell r="K57">
            <v>0</v>
          </cell>
          <cell r="L57">
            <v>8</v>
          </cell>
          <cell r="M57">
            <v>2.8571428571428571E-2</v>
          </cell>
        </row>
        <row r="58">
          <cell r="A58">
            <v>4296</v>
          </cell>
          <cell r="B58">
            <v>17.5</v>
          </cell>
          <cell r="C58">
            <v>0.70000000000000007</v>
          </cell>
          <cell r="D58">
            <v>0.25</v>
          </cell>
          <cell r="E58">
            <v>0.16666666666666666</v>
          </cell>
          <cell r="F58">
            <v>7.5</v>
          </cell>
          <cell r="G58">
            <v>0</v>
          </cell>
          <cell r="H58">
            <v>0</v>
          </cell>
          <cell r="I58">
            <v>0</v>
          </cell>
          <cell r="J58">
            <v>0</v>
          </cell>
          <cell r="K58">
            <v>0</v>
          </cell>
          <cell r="L58">
            <v>35</v>
          </cell>
          <cell r="M58">
            <v>0.125</v>
          </cell>
        </row>
        <row r="59">
          <cell r="A59">
            <v>4531</v>
          </cell>
          <cell r="B59">
            <v>5</v>
          </cell>
          <cell r="C59">
            <v>0.19999999999999998</v>
          </cell>
          <cell r="D59">
            <v>0</v>
          </cell>
          <cell r="E59">
            <v>5.0505050505050509E-3</v>
          </cell>
          <cell r="F59">
            <v>3.3333333333333335</v>
          </cell>
          <cell r="G59">
            <v>0</v>
          </cell>
          <cell r="H59">
            <v>0</v>
          </cell>
          <cell r="I59">
            <v>0</v>
          </cell>
          <cell r="J59">
            <v>0</v>
          </cell>
          <cell r="K59">
            <v>0</v>
          </cell>
          <cell r="L59">
            <v>33.333333333333336</v>
          </cell>
          <cell r="M59">
            <v>0.11904761904761905</v>
          </cell>
        </row>
        <row r="60">
          <cell r="A60">
            <v>4646</v>
          </cell>
          <cell r="B60">
            <v>5</v>
          </cell>
          <cell r="C60">
            <v>0.2</v>
          </cell>
          <cell r="D60">
            <v>0.25</v>
          </cell>
          <cell r="E60">
            <v>0.44570707070707061</v>
          </cell>
          <cell r="F60">
            <v>20</v>
          </cell>
          <cell r="G60">
            <v>0.5</v>
          </cell>
          <cell r="H60">
            <v>15</v>
          </cell>
          <cell r="I60">
            <v>0.66666666666666663</v>
          </cell>
          <cell r="J60">
            <v>0</v>
          </cell>
          <cell r="K60">
            <v>0</v>
          </cell>
          <cell r="L60">
            <v>50</v>
          </cell>
          <cell r="M60">
            <v>0.17857142857142855</v>
          </cell>
        </row>
        <row r="61">
          <cell r="A61">
            <v>4655</v>
          </cell>
          <cell r="B61">
            <v>8</v>
          </cell>
          <cell r="C61">
            <v>0.31999999999999995</v>
          </cell>
          <cell r="D61">
            <v>6.8</v>
          </cell>
          <cell r="E61">
            <v>0.46747696747696743</v>
          </cell>
          <cell r="F61">
            <v>22</v>
          </cell>
          <cell r="G61">
            <v>0.2</v>
          </cell>
          <cell r="H61">
            <v>8</v>
          </cell>
          <cell r="I61">
            <v>0.4</v>
          </cell>
          <cell r="J61">
            <v>0</v>
          </cell>
          <cell r="K61">
            <v>0</v>
          </cell>
          <cell r="L61">
            <v>30</v>
          </cell>
          <cell r="M61">
            <v>0.10714285714285714</v>
          </cell>
        </row>
        <row r="62">
          <cell r="A62">
            <v>4786</v>
          </cell>
          <cell r="B62">
            <v>10.166666666666666</v>
          </cell>
          <cell r="C62">
            <v>0.40666666666666673</v>
          </cell>
          <cell r="D62">
            <v>0.33333333333333331</v>
          </cell>
          <cell r="E62">
            <v>0.31018518518518517</v>
          </cell>
          <cell r="F62">
            <v>13.333333333333334</v>
          </cell>
          <cell r="G62">
            <v>0</v>
          </cell>
          <cell r="H62">
            <v>1.6666666666666667</v>
          </cell>
          <cell r="I62">
            <v>8.3333333333333329E-2</v>
          </cell>
          <cell r="J62">
            <v>0</v>
          </cell>
          <cell r="K62">
            <v>0</v>
          </cell>
          <cell r="L62">
            <v>23.333333333333332</v>
          </cell>
          <cell r="M62">
            <v>8.3333333333333329E-2</v>
          </cell>
        </row>
        <row r="63">
          <cell r="A63">
            <v>4804</v>
          </cell>
          <cell r="B63">
            <v>3</v>
          </cell>
          <cell r="C63">
            <v>0.12000000000000002</v>
          </cell>
          <cell r="D63">
            <v>0</v>
          </cell>
          <cell r="E63">
            <v>0</v>
          </cell>
          <cell r="F63">
            <v>0</v>
          </cell>
          <cell r="G63">
            <v>0</v>
          </cell>
          <cell r="H63">
            <v>0</v>
          </cell>
          <cell r="I63">
            <v>0</v>
          </cell>
          <cell r="J63">
            <v>0</v>
          </cell>
          <cell r="K63">
            <v>0</v>
          </cell>
          <cell r="L63">
            <v>10</v>
          </cell>
          <cell r="M63">
            <v>3.5714285714285712E-2</v>
          </cell>
        </row>
        <row r="64">
          <cell r="A64">
            <v>4859</v>
          </cell>
          <cell r="B64">
            <v>10.5</v>
          </cell>
          <cell r="C64">
            <v>0.42</v>
          </cell>
          <cell r="D64">
            <v>0</v>
          </cell>
          <cell r="E64">
            <v>0.125</v>
          </cell>
          <cell r="F64">
            <v>2.5</v>
          </cell>
          <cell r="G64">
            <v>0</v>
          </cell>
          <cell r="H64">
            <v>2.5</v>
          </cell>
          <cell r="I64">
            <v>0.25</v>
          </cell>
          <cell r="J64">
            <v>0</v>
          </cell>
          <cell r="K64">
            <v>0</v>
          </cell>
          <cell r="L64">
            <v>5</v>
          </cell>
          <cell r="M64">
            <v>1.7857142857142856E-2</v>
          </cell>
        </row>
        <row r="65">
          <cell r="A65">
            <v>5096</v>
          </cell>
          <cell r="B65">
            <v>6</v>
          </cell>
          <cell r="C65">
            <v>0.24000000000000005</v>
          </cell>
          <cell r="D65">
            <v>0</v>
          </cell>
          <cell r="E65">
            <v>0.25555555555555554</v>
          </cell>
          <cell r="F65">
            <v>18</v>
          </cell>
          <cell r="G65">
            <v>0.2</v>
          </cell>
          <cell r="H65">
            <v>0</v>
          </cell>
          <cell r="I65">
            <v>0</v>
          </cell>
          <cell r="J65">
            <v>0</v>
          </cell>
          <cell r="K65">
            <v>0</v>
          </cell>
          <cell r="L65">
            <v>20</v>
          </cell>
          <cell r="M65">
            <v>7.1428571428571425E-2</v>
          </cell>
        </row>
      </sheetData>
      <sheetData sheetId="13"/>
      <sheetData sheetId="14">
        <row r="2">
          <cell r="E2" t="str">
            <v>Standard</v>
          </cell>
        </row>
      </sheetData>
      <sheetData sheetId="15">
        <row r="3">
          <cell r="B3">
            <v>48</v>
          </cell>
          <cell r="C3" t="str">
            <v>Delphi E.L.I.T.E.</v>
          </cell>
          <cell r="D3" t="str">
            <v>Warren, OH, USA</v>
          </cell>
        </row>
        <row r="4">
          <cell r="B4">
            <v>81</v>
          </cell>
          <cell r="C4" t="str">
            <v>MetalHeads</v>
          </cell>
          <cell r="D4" t="str">
            <v>Freeport, IL, USA</v>
          </cell>
        </row>
        <row r="5">
          <cell r="B5">
            <v>93</v>
          </cell>
          <cell r="C5" t="str">
            <v>N.E.W. Apple Corps Robotics</v>
          </cell>
          <cell r="D5" t="str">
            <v>Appleton, WI, USA</v>
          </cell>
        </row>
        <row r="6">
          <cell r="B6">
            <v>111</v>
          </cell>
          <cell r="C6" t="str">
            <v>WildStang</v>
          </cell>
          <cell r="D6" t="str">
            <v>Schaumburg, IL, USA</v>
          </cell>
        </row>
        <row r="7">
          <cell r="B7">
            <v>167</v>
          </cell>
          <cell r="C7" t="str">
            <v>Children of the Corn</v>
          </cell>
          <cell r="D7" t="str">
            <v>Iowa City, IA, USA</v>
          </cell>
        </row>
        <row r="8">
          <cell r="B8">
            <v>171</v>
          </cell>
          <cell r="C8" t="str">
            <v>Cheese Curd Herd</v>
          </cell>
          <cell r="D8" t="str">
            <v>Platteville, WI, USA</v>
          </cell>
        </row>
        <row r="9">
          <cell r="B9">
            <v>192</v>
          </cell>
          <cell r="C9" t="str">
            <v>GRT</v>
          </cell>
          <cell r="D9" t="str">
            <v>Palo Alto, CA, USA</v>
          </cell>
        </row>
        <row r="10">
          <cell r="B10">
            <v>269</v>
          </cell>
          <cell r="C10" t="str">
            <v>CooneyTech</v>
          </cell>
          <cell r="D10" t="str">
            <v>Oconomowoc, WI, USA</v>
          </cell>
        </row>
        <row r="11">
          <cell r="B11">
            <v>537</v>
          </cell>
          <cell r="C11" t="str">
            <v>Chargers!</v>
          </cell>
          <cell r="D11" t="str">
            <v>Sussex, WI, USA</v>
          </cell>
        </row>
        <row r="12">
          <cell r="B12">
            <v>706</v>
          </cell>
          <cell r="C12" t="str">
            <v>CYBERHAWKS</v>
          </cell>
          <cell r="D12" t="str">
            <v>Hartland, WI, USA</v>
          </cell>
        </row>
        <row r="13">
          <cell r="B13">
            <v>876</v>
          </cell>
          <cell r="C13" t="str">
            <v>Thunder Robotics</v>
          </cell>
          <cell r="D13" t="str">
            <v>Northwood and Hatton, ND, USA</v>
          </cell>
        </row>
        <row r="14">
          <cell r="B14">
            <v>930</v>
          </cell>
          <cell r="C14" t="str">
            <v>Mukwonago B.E.A.R.s (Building Extremely Awesome Robots)</v>
          </cell>
          <cell r="D14" t="str">
            <v>Mukwonago, WI, USA</v>
          </cell>
        </row>
        <row r="15">
          <cell r="B15">
            <v>938</v>
          </cell>
          <cell r="C15" t="str">
            <v>Team Botman</v>
          </cell>
          <cell r="D15" t="str">
            <v>Richmond, KS, USA</v>
          </cell>
        </row>
        <row r="16">
          <cell r="B16">
            <v>1091</v>
          </cell>
          <cell r="C16" t="str">
            <v>Oriole Assault</v>
          </cell>
          <cell r="D16" t="str">
            <v>Hartford, WI, USA</v>
          </cell>
        </row>
        <row r="17">
          <cell r="B17">
            <v>1259</v>
          </cell>
          <cell r="C17" t="str">
            <v>Paradigm Shift</v>
          </cell>
          <cell r="D17" t="str">
            <v>Pewaukee, WI, USA</v>
          </cell>
        </row>
        <row r="18">
          <cell r="B18">
            <v>1306</v>
          </cell>
          <cell r="C18" t="str">
            <v>BadgerBOTS</v>
          </cell>
          <cell r="D18" t="str">
            <v>Madison, WI, USA</v>
          </cell>
        </row>
        <row r="19">
          <cell r="B19">
            <v>1622</v>
          </cell>
          <cell r="C19" t="str">
            <v>Team Spyder</v>
          </cell>
          <cell r="D19" t="str">
            <v>Poway, CA, USA</v>
          </cell>
        </row>
        <row r="20">
          <cell r="B20">
            <v>1625</v>
          </cell>
          <cell r="C20" t="str">
            <v>Winnovation</v>
          </cell>
          <cell r="D20" t="str">
            <v>Winnebago, IL, USA</v>
          </cell>
        </row>
        <row r="21">
          <cell r="B21">
            <v>1675</v>
          </cell>
          <cell r="C21" t="str">
            <v>The Ultimate Protection Squad</v>
          </cell>
          <cell r="D21" t="str">
            <v>Milwaukee, WI, USA</v>
          </cell>
        </row>
        <row r="22">
          <cell r="B22">
            <v>1714</v>
          </cell>
          <cell r="C22" t="str">
            <v>MORE Robotics</v>
          </cell>
          <cell r="D22" t="str">
            <v>Milwaukee, WI, USA</v>
          </cell>
        </row>
        <row r="23">
          <cell r="B23">
            <v>1716</v>
          </cell>
          <cell r="C23" t="str">
            <v>Redbird Robotics</v>
          </cell>
          <cell r="D23" t="str">
            <v>De Pere, WI, USA</v>
          </cell>
        </row>
        <row r="24">
          <cell r="B24">
            <v>1732</v>
          </cell>
          <cell r="C24" t="str">
            <v>Hilltoppers</v>
          </cell>
          <cell r="D24" t="str">
            <v>Milwaukee, WI, USA</v>
          </cell>
        </row>
        <row r="25">
          <cell r="B25">
            <v>1736</v>
          </cell>
          <cell r="C25" t="str">
            <v>Robot Casserole</v>
          </cell>
          <cell r="D25" t="str">
            <v>Peoria, IL, USA</v>
          </cell>
        </row>
        <row r="26">
          <cell r="B26">
            <v>2039</v>
          </cell>
          <cell r="C26" t="str">
            <v>Rockford Robotics</v>
          </cell>
          <cell r="D26" t="str">
            <v>Rockford, IL, USA</v>
          </cell>
        </row>
        <row r="27">
          <cell r="B27">
            <v>2040</v>
          </cell>
          <cell r="C27" t="str">
            <v>DERT</v>
          </cell>
          <cell r="D27" t="str">
            <v>Dunlap, IL, USA</v>
          </cell>
        </row>
        <row r="28">
          <cell r="B28">
            <v>2062</v>
          </cell>
          <cell r="C28" t="str">
            <v>C.O.R.E 2062</v>
          </cell>
          <cell r="D28" t="str">
            <v>Waukesha, WI, USA</v>
          </cell>
        </row>
        <row r="29">
          <cell r="B29">
            <v>2077</v>
          </cell>
          <cell r="C29" t="str">
            <v>Laser Robotics</v>
          </cell>
          <cell r="D29" t="str">
            <v>Wales, WI, USA</v>
          </cell>
        </row>
        <row r="30">
          <cell r="B30">
            <v>2081</v>
          </cell>
          <cell r="C30" t="str">
            <v>Icarus</v>
          </cell>
          <cell r="D30" t="str">
            <v>Peoria, IL, USA</v>
          </cell>
        </row>
        <row r="31">
          <cell r="B31">
            <v>2194</v>
          </cell>
          <cell r="C31" t="str">
            <v>Fondy Fire</v>
          </cell>
          <cell r="D31" t="str">
            <v>Fond du Lac, WI, USA</v>
          </cell>
        </row>
        <row r="32">
          <cell r="B32">
            <v>2202</v>
          </cell>
          <cell r="C32" t="str">
            <v>BEAST Robotics</v>
          </cell>
          <cell r="D32" t="str">
            <v>Brookfield, WI, USA</v>
          </cell>
        </row>
        <row r="33">
          <cell r="B33">
            <v>2470</v>
          </cell>
          <cell r="C33" t="str">
            <v>Blitz Team</v>
          </cell>
          <cell r="D33" t="str">
            <v>Bloomington, MN, USA</v>
          </cell>
        </row>
        <row r="34">
          <cell r="B34">
            <v>2481</v>
          </cell>
          <cell r="C34" t="str">
            <v>Roboteers</v>
          </cell>
          <cell r="D34" t="str">
            <v>Tremont, IL, USA</v>
          </cell>
        </row>
        <row r="35">
          <cell r="B35">
            <v>2512</v>
          </cell>
          <cell r="C35" t="str">
            <v>Duluth East Daredevils</v>
          </cell>
          <cell r="D35" t="str">
            <v>Duluth, MN, USA</v>
          </cell>
        </row>
        <row r="36">
          <cell r="B36">
            <v>2530</v>
          </cell>
          <cell r="C36" t="str">
            <v>Inconceivable</v>
          </cell>
          <cell r="D36" t="str">
            <v>Rochester, MN, USA</v>
          </cell>
        </row>
        <row r="37">
          <cell r="B37">
            <v>2705</v>
          </cell>
          <cell r="C37" t="str">
            <v>WE ROBOT</v>
          </cell>
          <cell r="D37" t="str">
            <v>Eden Prairie, MN, USA</v>
          </cell>
        </row>
        <row r="38">
          <cell r="B38">
            <v>2826</v>
          </cell>
          <cell r="C38" t="str">
            <v>Wave Robotics</v>
          </cell>
          <cell r="D38" t="str">
            <v>Oshkosh, WI, USA</v>
          </cell>
        </row>
        <row r="39">
          <cell r="B39">
            <v>2830</v>
          </cell>
          <cell r="C39" t="str">
            <v>Riverside RoboTigers</v>
          </cell>
          <cell r="D39" t="str">
            <v>Milwaukee, WI, USA</v>
          </cell>
        </row>
        <row r="40">
          <cell r="B40">
            <v>3018</v>
          </cell>
          <cell r="C40" t="str">
            <v>Nordic Storm</v>
          </cell>
          <cell r="D40" t="str">
            <v>Saint Peter, MN, USA</v>
          </cell>
        </row>
        <row r="41">
          <cell r="B41">
            <v>3081</v>
          </cell>
          <cell r="C41" t="str">
            <v>RoboEagles</v>
          </cell>
          <cell r="D41" t="str">
            <v>Bloomington, MN, USA</v>
          </cell>
        </row>
        <row r="42">
          <cell r="B42">
            <v>3135</v>
          </cell>
          <cell r="C42" t="str">
            <v>Robotic Colonels</v>
          </cell>
          <cell r="D42" t="str">
            <v>Chicago, IL, USA</v>
          </cell>
        </row>
        <row r="43">
          <cell r="B43">
            <v>3197</v>
          </cell>
          <cell r="C43" t="str">
            <v>HexHounds</v>
          </cell>
          <cell r="D43" t="str">
            <v>Cedarburg, WI, USA</v>
          </cell>
        </row>
        <row r="44">
          <cell r="B44">
            <v>3300</v>
          </cell>
          <cell r="C44" t="str">
            <v>Midwest WARRIORS</v>
          </cell>
          <cell r="D44" t="str">
            <v>Ortonville, MN, USA</v>
          </cell>
        </row>
        <row r="45">
          <cell r="B45">
            <v>3381</v>
          </cell>
          <cell r="C45" t="str">
            <v>Manitowoc County Droid Rage 3381</v>
          </cell>
          <cell r="D45" t="str">
            <v>Valders, WI, USA</v>
          </cell>
        </row>
        <row r="46">
          <cell r="B46">
            <v>3418</v>
          </cell>
          <cell r="C46" t="str">
            <v>Robo Riot</v>
          </cell>
          <cell r="D46" t="str">
            <v>Sheboygan Falls, WI, USA</v>
          </cell>
        </row>
        <row r="47">
          <cell r="B47">
            <v>3596</v>
          </cell>
          <cell r="C47" t="str">
            <v>Rocket Robotics</v>
          </cell>
          <cell r="D47" t="str">
            <v>South Milwaukee, WI, USA</v>
          </cell>
        </row>
        <row r="48">
          <cell r="B48">
            <v>3692</v>
          </cell>
          <cell r="C48" t="str">
            <v>Rock'n'Robots</v>
          </cell>
          <cell r="D48" t="str">
            <v>Janesville, WI, USA</v>
          </cell>
        </row>
        <row r="49">
          <cell r="B49">
            <v>3734</v>
          </cell>
          <cell r="C49" t="str">
            <v>Caxys</v>
          </cell>
          <cell r="D49" t="str">
            <v>Lake Forest, IL, USA</v>
          </cell>
        </row>
        <row r="50">
          <cell r="B50">
            <v>4095</v>
          </cell>
          <cell r="C50" t="str">
            <v>Team RoXI</v>
          </cell>
          <cell r="D50" t="str">
            <v>Milwaukee, WI, USA</v>
          </cell>
        </row>
        <row r="51">
          <cell r="B51">
            <v>4143</v>
          </cell>
          <cell r="C51" t="str">
            <v>MARS/ WARS</v>
          </cell>
          <cell r="D51" t="str">
            <v>Metamora, IL, USA</v>
          </cell>
        </row>
        <row r="52">
          <cell r="B52">
            <v>4212</v>
          </cell>
          <cell r="C52" t="str">
            <v>Techno Ferrets</v>
          </cell>
          <cell r="D52" t="str">
            <v>Galesburg, IL, USA</v>
          </cell>
        </row>
        <row r="53">
          <cell r="B53">
            <v>4247</v>
          </cell>
          <cell r="C53" t="str">
            <v>Cougar-Bots</v>
          </cell>
          <cell r="D53" t="str">
            <v>Milwaukee, WI, USA</v>
          </cell>
        </row>
        <row r="54">
          <cell r="B54">
            <v>4296</v>
          </cell>
          <cell r="C54" t="str">
            <v>Trident Robotics</v>
          </cell>
          <cell r="D54" t="str">
            <v>Gurnee, IL, USA</v>
          </cell>
        </row>
        <row r="55">
          <cell r="B55">
            <v>4531</v>
          </cell>
          <cell r="C55" t="str">
            <v>STEMpunk</v>
          </cell>
          <cell r="D55" t="str">
            <v>Mishicot, WI, USA</v>
          </cell>
        </row>
        <row r="56">
          <cell r="B56">
            <v>4646</v>
          </cell>
          <cell r="C56" t="str">
            <v>Team ASAP</v>
          </cell>
          <cell r="D56" t="str">
            <v>Des Moines, IA, USA</v>
          </cell>
        </row>
        <row r="57">
          <cell r="B57">
            <v>4655</v>
          </cell>
          <cell r="C57" t="str">
            <v>Stateline Robotics</v>
          </cell>
          <cell r="D57" t="str">
            <v>Rockton, IL, USA</v>
          </cell>
        </row>
        <row r="58">
          <cell r="B58">
            <v>4786</v>
          </cell>
          <cell r="C58" t="str">
            <v>Nicolet F.E.A.R.</v>
          </cell>
          <cell r="D58" t="str">
            <v>Glendale, WI, USA</v>
          </cell>
        </row>
        <row r="59">
          <cell r="B59">
            <v>4804</v>
          </cell>
          <cell r="C59" t="str">
            <v>Port PiraTech</v>
          </cell>
          <cell r="D59" t="str">
            <v>Port Washington, WI, USA</v>
          </cell>
        </row>
        <row r="60">
          <cell r="B60">
            <v>4859</v>
          </cell>
          <cell r="C60" t="str">
            <v>The CyBears</v>
          </cell>
          <cell r="D60" t="str">
            <v>Byron, MN, USA</v>
          </cell>
        </row>
        <row r="61">
          <cell r="B61">
            <v>5096</v>
          </cell>
          <cell r="C61" t="str">
            <v>The Teutonic Force</v>
          </cell>
          <cell r="D61" t="str">
            <v>Germantown, WI, USA</v>
          </cell>
        </row>
        <row r="62">
          <cell r="B62">
            <v>5148</v>
          </cell>
          <cell r="C62" t="str">
            <v>New Berlin Blitz</v>
          </cell>
          <cell r="D62" t="str">
            <v>New Berlin, WI, USA</v>
          </cell>
        </row>
      </sheetData>
      <sheetData sheetId="16">
        <row r="3">
          <cell r="B3">
            <v>48</v>
          </cell>
        </row>
      </sheetData>
      <sheetData sheetId="17">
        <row r="3">
          <cell r="C3">
            <v>1</v>
          </cell>
          <cell r="D3">
            <v>171</v>
          </cell>
          <cell r="E3">
            <v>2081</v>
          </cell>
          <cell r="F3">
            <v>938</v>
          </cell>
          <cell r="G3">
            <v>48</v>
          </cell>
          <cell r="H3">
            <v>192</v>
          </cell>
          <cell r="I3">
            <v>5096</v>
          </cell>
          <cell r="L3">
            <v>0.375</v>
          </cell>
        </row>
        <row r="4">
          <cell r="C4">
            <v>2</v>
          </cell>
          <cell r="D4">
            <v>4531</v>
          </cell>
          <cell r="E4">
            <v>81</v>
          </cell>
          <cell r="F4">
            <v>4786</v>
          </cell>
          <cell r="G4">
            <v>1259</v>
          </cell>
          <cell r="H4">
            <v>3734</v>
          </cell>
          <cell r="I4">
            <v>1716</v>
          </cell>
          <cell r="L4">
            <v>0.37916666666666665</v>
          </cell>
        </row>
        <row r="5">
          <cell r="C5">
            <v>3</v>
          </cell>
          <cell r="D5">
            <v>1714</v>
          </cell>
          <cell r="E5">
            <v>2530</v>
          </cell>
          <cell r="F5">
            <v>269</v>
          </cell>
          <cell r="G5">
            <v>2830</v>
          </cell>
          <cell r="H5">
            <v>3596</v>
          </cell>
          <cell r="I5">
            <v>1675</v>
          </cell>
          <cell r="L5">
            <v>0.3833333333333333</v>
          </cell>
        </row>
        <row r="6">
          <cell r="C6">
            <v>4</v>
          </cell>
          <cell r="D6">
            <v>4296</v>
          </cell>
          <cell r="E6">
            <v>2194</v>
          </cell>
          <cell r="F6">
            <v>93</v>
          </cell>
          <cell r="G6">
            <v>537</v>
          </cell>
          <cell r="H6">
            <v>2077</v>
          </cell>
          <cell r="I6">
            <v>3418</v>
          </cell>
          <cell r="L6">
            <v>0.38750000000000001</v>
          </cell>
        </row>
        <row r="7">
          <cell r="C7">
            <v>5</v>
          </cell>
          <cell r="D7">
            <v>2470</v>
          </cell>
          <cell r="E7">
            <v>2826</v>
          </cell>
          <cell r="F7">
            <v>876</v>
          </cell>
          <cell r="G7">
            <v>5148</v>
          </cell>
          <cell r="H7">
            <v>4859</v>
          </cell>
          <cell r="I7">
            <v>2062</v>
          </cell>
          <cell r="L7">
            <v>0.39166666666666666</v>
          </cell>
        </row>
        <row r="8">
          <cell r="C8">
            <v>6</v>
          </cell>
          <cell r="D8">
            <v>2481</v>
          </cell>
          <cell r="E8">
            <v>167</v>
          </cell>
          <cell r="F8">
            <v>3197</v>
          </cell>
          <cell r="G8">
            <v>706</v>
          </cell>
          <cell r="H8">
            <v>4143</v>
          </cell>
          <cell r="I8">
            <v>930</v>
          </cell>
          <cell r="L8">
            <v>0.39583333333333331</v>
          </cell>
        </row>
        <row r="9">
          <cell r="C9">
            <v>7</v>
          </cell>
          <cell r="D9">
            <v>3081</v>
          </cell>
          <cell r="E9">
            <v>1625</v>
          </cell>
          <cell r="F9">
            <v>2039</v>
          </cell>
          <cell r="G9">
            <v>111</v>
          </cell>
          <cell r="H9">
            <v>1736</v>
          </cell>
          <cell r="I9">
            <v>4804</v>
          </cell>
          <cell r="L9">
            <v>0.39999999999999997</v>
          </cell>
        </row>
        <row r="10">
          <cell r="C10">
            <v>8</v>
          </cell>
          <cell r="D10">
            <v>4646</v>
          </cell>
          <cell r="E10">
            <v>1622</v>
          </cell>
          <cell r="F10">
            <v>4095</v>
          </cell>
          <cell r="G10">
            <v>2040</v>
          </cell>
          <cell r="H10">
            <v>1091</v>
          </cell>
          <cell r="I10">
            <v>3018</v>
          </cell>
          <cell r="L10">
            <v>0.40416666666666662</v>
          </cell>
        </row>
        <row r="11">
          <cell r="C11">
            <v>9</v>
          </cell>
          <cell r="D11">
            <v>3135</v>
          </cell>
          <cell r="E11">
            <v>3381</v>
          </cell>
          <cell r="F11">
            <v>2202</v>
          </cell>
          <cell r="G11">
            <v>1732</v>
          </cell>
          <cell r="H11">
            <v>2705</v>
          </cell>
          <cell r="I11">
            <v>3692</v>
          </cell>
          <cell r="L11">
            <v>0.40833333333333338</v>
          </cell>
        </row>
        <row r="12">
          <cell r="C12">
            <v>10</v>
          </cell>
          <cell r="D12">
            <v>4212</v>
          </cell>
          <cell r="E12">
            <v>2512</v>
          </cell>
          <cell r="F12">
            <v>1306</v>
          </cell>
          <cell r="G12">
            <v>3300</v>
          </cell>
          <cell r="H12">
            <v>4655</v>
          </cell>
          <cell r="I12">
            <v>4247</v>
          </cell>
          <cell r="L12">
            <v>0.41250000000000003</v>
          </cell>
        </row>
        <row r="13">
          <cell r="C13">
            <v>11</v>
          </cell>
          <cell r="D13">
            <v>2077</v>
          </cell>
          <cell r="E13">
            <v>2826</v>
          </cell>
          <cell r="F13">
            <v>5096</v>
          </cell>
          <cell r="G13">
            <v>1259</v>
          </cell>
          <cell r="H13">
            <v>81</v>
          </cell>
          <cell r="I13">
            <v>2481</v>
          </cell>
          <cell r="L13">
            <v>0.41666666666666669</v>
          </cell>
        </row>
        <row r="14">
          <cell r="C14">
            <v>12</v>
          </cell>
          <cell r="D14">
            <v>4859</v>
          </cell>
          <cell r="E14">
            <v>1675</v>
          </cell>
          <cell r="F14">
            <v>4786</v>
          </cell>
          <cell r="G14">
            <v>938</v>
          </cell>
          <cell r="H14">
            <v>3418</v>
          </cell>
          <cell r="I14">
            <v>706</v>
          </cell>
          <cell r="L14">
            <v>0.42083333333333334</v>
          </cell>
        </row>
        <row r="15">
          <cell r="C15">
            <v>13</v>
          </cell>
          <cell r="D15">
            <v>4143</v>
          </cell>
          <cell r="E15">
            <v>2062</v>
          </cell>
          <cell r="F15">
            <v>3197</v>
          </cell>
          <cell r="G15">
            <v>537</v>
          </cell>
          <cell r="H15">
            <v>1622</v>
          </cell>
          <cell r="I15">
            <v>3018</v>
          </cell>
          <cell r="L15">
            <v>0.42499999999999999</v>
          </cell>
        </row>
        <row r="16">
          <cell r="C16">
            <v>14</v>
          </cell>
          <cell r="D16">
            <v>111</v>
          </cell>
          <cell r="E16">
            <v>48</v>
          </cell>
          <cell r="F16">
            <v>3381</v>
          </cell>
          <cell r="G16">
            <v>1714</v>
          </cell>
          <cell r="H16">
            <v>2470</v>
          </cell>
          <cell r="I16">
            <v>5148</v>
          </cell>
          <cell r="L16">
            <v>0.4291666666666667</v>
          </cell>
        </row>
        <row r="17">
          <cell r="C17">
            <v>15</v>
          </cell>
          <cell r="D17">
            <v>2040</v>
          </cell>
          <cell r="E17">
            <v>4531</v>
          </cell>
          <cell r="F17">
            <v>1625</v>
          </cell>
          <cell r="G17">
            <v>171</v>
          </cell>
          <cell r="H17">
            <v>3135</v>
          </cell>
          <cell r="I17">
            <v>3596</v>
          </cell>
          <cell r="L17">
            <v>0.43333333333333335</v>
          </cell>
        </row>
        <row r="18">
          <cell r="C18">
            <v>16</v>
          </cell>
          <cell r="D18">
            <v>4804</v>
          </cell>
          <cell r="E18">
            <v>269</v>
          </cell>
          <cell r="F18">
            <v>192</v>
          </cell>
          <cell r="G18">
            <v>167</v>
          </cell>
          <cell r="H18">
            <v>1091</v>
          </cell>
          <cell r="I18">
            <v>1306</v>
          </cell>
          <cell r="L18">
            <v>0.4375</v>
          </cell>
        </row>
        <row r="19">
          <cell r="C19">
            <v>17</v>
          </cell>
          <cell r="D19">
            <v>2202</v>
          </cell>
          <cell r="E19">
            <v>4247</v>
          </cell>
          <cell r="F19">
            <v>2512</v>
          </cell>
          <cell r="G19">
            <v>1716</v>
          </cell>
          <cell r="H19">
            <v>2039</v>
          </cell>
          <cell r="I19">
            <v>2830</v>
          </cell>
          <cell r="L19">
            <v>0.44166666666666665</v>
          </cell>
        </row>
        <row r="20">
          <cell r="C20">
            <v>18</v>
          </cell>
          <cell r="D20">
            <v>3081</v>
          </cell>
          <cell r="E20">
            <v>4646</v>
          </cell>
          <cell r="F20">
            <v>4655</v>
          </cell>
          <cell r="G20">
            <v>4095</v>
          </cell>
          <cell r="H20">
            <v>2194</v>
          </cell>
          <cell r="I20">
            <v>2705</v>
          </cell>
          <cell r="L20">
            <v>0.4458333333333333</v>
          </cell>
        </row>
        <row r="21">
          <cell r="C21">
            <v>19</v>
          </cell>
          <cell r="D21">
            <v>3692</v>
          </cell>
          <cell r="E21">
            <v>93</v>
          </cell>
          <cell r="F21">
            <v>2530</v>
          </cell>
          <cell r="G21">
            <v>4212</v>
          </cell>
          <cell r="H21">
            <v>1732</v>
          </cell>
          <cell r="I21">
            <v>3300</v>
          </cell>
          <cell r="L21">
            <v>0.45</v>
          </cell>
        </row>
        <row r="22">
          <cell r="C22">
            <v>20</v>
          </cell>
          <cell r="D22">
            <v>3734</v>
          </cell>
          <cell r="E22">
            <v>876</v>
          </cell>
          <cell r="F22">
            <v>930</v>
          </cell>
          <cell r="G22">
            <v>1736</v>
          </cell>
          <cell r="H22">
            <v>4296</v>
          </cell>
          <cell r="I22">
            <v>2081</v>
          </cell>
          <cell r="L22">
            <v>0.45416666666666666</v>
          </cell>
        </row>
        <row r="23">
          <cell r="C23">
            <v>21</v>
          </cell>
          <cell r="D23">
            <v>3381</v>
          </cell>
          <cell r="E23">
            <v>4804</v>
          </cell>
          <cell r="F23">
            <v>5148</v>
          </cell>
          <cell r="G23">
            <v>2062</v>
          </cell>
          <cell r="H23">
            <v>706</v>
          </cell>
          <cell r="I23">
            <v>2077</v>
          </cell>
          <cell r="L23">
            <v>0.45833333333333331</v>
          </cell>
        </row>
        <row r="24">
          <cell r="C24">
            <v>22</v>
          </cell>
          <cell r="D24">
            <v>1625</v>
          </cell>
          <cell r="E24">
            <v>81</v>
          </cell>
          <cell r="F24">
            <v>1675</v>
          </cell>
          <cell r="G24">
            <v>1306</v>
          </cell>
          <cell r="H24">
            <v>2040</v>
          </cell>
          <cell r="I24">
            <v>2470</v>
          </cell>
          <cell r="L24">
            <v>0.46249999999999997</v>
          </cell>
        </row>
        <row r="25">
          <cell r="C25">
            <v>23</v>
          </cell>
          <cell r="D25">
            <v>1714</v>
          </cell>
          <cell r="E25">
            <v>171</v>
          </cell>
          <cell r="F25">
            <v>3018</v>
          </cell>
          <cell r="G25">
            <v>2194</v>
          </cell>
          <cell r="H25">
            <v>2202</v>
          </cell>
          <cell r="I25">
            <v>4786</v>
          </cell>
          <cell r="L25">
            <v>0.46666666666666662</v>
          </cell>
        </row>
        <row r="26">
          <cell r="C26">
            <v>24</v>
          </cell>
          <cell r="D26">
            <v>2705</v>
          </cell>
          <cell r="E26">
            <v>2039</v>
          </cell>
          <cell r="F26">
            <v>192</v>
          </cell>
          <cell r="G26">
            <v>2530</v>
          </cell>
          <cell r="H26">
            <v>4212</v>
          </cell>
          <cell r="I26">
            <v>5096</v>
          </cell>
          <cell r="L26">
            <v>0.47083333333333338</v>
          </cell>
        </row>
        <row r="27">
          <cell r="C27">
            <v>25</v>
          </cell>
          <cell r="D27">
            <v>3197</v>
          </cell>
          <cell r="E27">
            <v>93</v>
          </cell>
          <cell r="F27">
            <v>1091</v>
          </cell>
          <cell r="G27">
            <v>48</v>
          </cell>
          <cell r="H27">
            <v>2830</v>
          </cell>
          <cell r="I27">
            <v>3734</v>
          </cell>
          <cell r="L27">
            <v>0.47500000000000003</v>
          </cell>
        </row>
        <row r="28">
          <cell r="C28">
            <v>26</v>
          </cell>
          <cell r="D28">
            <v>876</v>
          </cell>
          <cell r="E28">
            <v>537</v>
          </cell>
          <cell r="F28">
            <v>2081</v>
          </cell>
          <cell r="G28">
            <v>4655</v>
          </cell>
          <cell r="H28">
            <v>2512</v>
          </cell>
          <cell r="I28">
            <v>111</v>
          </cell>
          <cell r="L28">
            <v>0.47916666666666669</v>
          </cell>
        </row>
        <row r="29">
          <cell r="C29">
            <v>27</v>
          </cell>
          <cell r="D29">
            <v>1736</v>
          </cell>
          <cell r="E29">
            <v>4247</v>
          </cell>
          <cell r="F29">
            <v>4095</v>
          </cell>
          <cell r="G29">
            <v>3692</v>
          </cell>
          <cell r="H29">
            <v>4143</v>
          </cell>
          <cell r="I29">
            <v>1259</v>
          </cell>
          <cell r="L29">
            <v>0.48333333333333334</v>
          </cell>
        </row>
        <row r="30">
          <cell r="C30">
            <v>28</v>
          </cell>
          <cell r="D30">
            <v>3081</v>
          </cell>
          <cell r="E30">
            <v>930</v>
          </cell>
          <cell r="F30">
            <v>2481</v>
          </cell>
          <cell r="G30">
            <v>3418</v>
          </cell>
          <cell r="H30">
            <v>3135</v>
          </cell>
          <cell r="I30">
            <v>1622</v>
          </cell>
          <cell r="L30">
            <v>0.48749999999999999</v>
          </cell>
        </row>
        <row r="31">
          <cell r="C31">
            <v>29</v>
          </cell>
          <cell r="D31">
            <v>2826</v>
          </cell>
          <cell r="E31">
            <v>1716</v>
          </cell>
          <cell r="F31">
            <v>269</v>
          </cell>
          <cell r="G31">
            <v>4646</v>
          </cell>
          <cell r="H31">
            <v>4296</v>
          </cell>
          <cell r="I31">
            <v>938</v>
          </cell>
          <cell r="L31">
            <v>0.4916666666666667</v>
          </cell>
        </row>
        <row r="32">
          <cell r="C32">
            <v>30</v>
          </cell>
          <cell r="D32">
            <v>1732</v>
          </cell>
          <cell r="E32">
            <v>3596</v>
          </cell>
          <cell r="F32">
            <v>4531</v>
          </cell>
          <cell r="G32">
            <v>4859</v>
          </cell>
          <cell r="H32">
            <v>167</v>
          </cell>
          <cell r="I32">
            <v>3300</v>
          </cell>
          <cell r="L32">
            <v>0.54166666666666663</v>
          </cell>
        </row>
        <row r="33">
          <cell r="C33">
            <v>31</v>
          </cell>
          <cell r="D33">
            <v>2512</v>
          </cell>
          <cell r="E33">
            <v>2705</v>
          </cell>
          <cell r="F33">
            <v>2077</v>
          </cell>
          <cell r="G33">
            <v>3197</v>
          </cell>
          <cell r="H33">
            <v>1714</v>
          </cell>
          <cell r="I33">
            <v>4786</v>
          </cell>
          <cell r="L33">
            <v>0.54583333333333328</v>
          </cell>
        </row>
        <row r="34">
          <cell r="C34">
            <v>32</v>
          </cell>
          <cell r="D34">
            <v>3018</v>
          </cell>
          <cell r="E34">
            <v>706</v>
          </cell>
          <cell r="F34">
            <v>3734</v>
          </cell>
          <cell r="G34">
            <v>5096</v>
          </cell>
          <cell r="H34">
            <v>4655</v>
          </cell>
          <cell r="I34">
            <v>2039</v>
          </cell>
          <cell r="L34">
            <v>0.54999999999999993</v>
          </cell>
        </row>
        <row r="35">
          <cell r="C35">
            <v>33</v>
          </cell>
          <cell r="D35">
            <v>2040</v>
          </cell>
          <cell r="E35">
            <v>192</v>
          </cell>
          <cell r="F35">
            <v>171</v>
          </cell>
          <cell r="G35">
            <v>2062</v>
          </cell>
          <cell r="H35">
            <v>3081</v>
          </cell>
          <cell r="I35">
            <v>93</v>
          </cell>
          <cell r="L35">
            <v>0.5541666666666667</v>
          </cell>
        </row>
        <row r="36">
          <cell r="C36">
            <v>34</v>
          </cell>
          <cell r="D36">
            <v>4212</v>
          </cell>
          <cell r="E36">
            <v>4143</v>
          </cell>
          <cell r="F36">
            <v>3135</v>
          </cell>
          <cell r="G36">
            <v>5148</v>
          </cell>
          <cell r="H36">
            <v>269</v>
          </cell>
          <cell r="I36">
            <v>4296</v>
          </cell>
          <cell r="L36">
            <v>0.55833333333333335</v>
          </cell>
        </row>
        <row r="37">
          <cell r="C37">
            <v>35</v>
          </cell>
          <cell r="D37">
            <v>4646</v>
          </cell>
          <cell r="E37">
            <v>4859</v>
          </cell>
          <cell r="F37">
            <v>48</v>
          </cell>
          <cell r="G37">
            <v>167</v>
          </cell>
          <cell r="H37">
            <v>1625</v>
          </cell>
          <cell r="I37">
            <v>1259</v>
          </cell>
          <cell r="L37">
            <v>0.5625</v>
          </cell>
        </row>
        <row r="38">
          <cell r="C38">
            <v>36</v>
          </cell>
          <cell r="D38">
            <v>2830</v>
          </cell>
          <cell r="E38">
            <v>1091</v>
          </cell>
          <cell r="F38">
            <v>111</v>
          </cell>
          <cell r="G38">
            <v>930</v>
          </cell>
          <cell r="H38">
            <v>4531</v>
          </cell>
          <cell r="I38">
            <v>938</v>
          </cell>
          <cell r="L38">
            <v>0.56666666666666665</v>
          </cell>
        </row>
        <row r="39">
          <cell r="C39">
            <v>37</v>
          </cell>
          <cell r="D39">
            <v>4804</v>
          </cell>
          <cell r="E39">
            <v>3596</v>
          </cell>
          <cell r="F39">
            <v>3418</v>
          </cell>
          <cell r="G39">
            <v>3381</v>
          </cell>
          <cell r="H39">
            <v>4247</v>
          </cell>
          <cell r="I39">
            <v>3692</v>
          </cell>
          <cell r="L39">
            <v>0.5708333333333333</v>
          </cell>
        </row>
        <row r="40">
          <cell r="C40">
            <v>38</v>
          </cell>
          <cell r="D40">
            <v>1622</v>
          </cell>
          <cell r="E40">
            <v>1716</v>
          </cell>
          <cell r="F40">
            <v>81</v>
          </cell>
          <cell r="G40">
            <v>876</v>
          </cell>
          <cell r="H40">
            <v>4095</v>
          </cell>
          <cell r="I40">
            <v>2530</v>
          </cell>
          <cell r="L40">
            <v>0.57500000000000007</v>
          </cell>
        </row>
        <row r="41">
          <cell r="C41">
            <v>39</v>
          </cell>
          <cell r="D41">
            <v>1675</v>
          </cell>
          <cell r="E41">
            <v>2194</v>
          </cell>
          <cell r="F41">
            <v>2826</v>
          </cell>
          <cell r="G41">
            <v>2202</v>
          </cell>
          <cell r="H41">
            <v>3300</v>
          </cell>
          <cell r="I41">
            <v>2081</v>
          </cell>
          <cell r="L41">
            <v>0.57916666666666672</v>
          </cell>
        </row>
        <row r="42">
          <cell r="C42">
            <v>40</v>
          </cell>
          <cell r="D42">
            <v>1306</v>
          </cell>
          <cell r="E42">
            <v>2481</v>
          </cell>
          <cell r="F42">
            <v>537</v>
          </cell>
          <cell r="G42">
            <v>1736</v>
          </cell>
          <cell r="H42">
            <v>1732</v>
          </cell>
          <cell r="I42">
            <v>2470</v>
          </cell>
          <cell r="L42">
            <v>0.58333333333333337</v>
          </cell>
        </row>
        <row r="43">
          <cell r="C43">
            <v>41</v>
          </cell>
          <cell r="D43">
            <v>111</v>
          </cell>
          <cell r="E43">
            <v>4646</v>
          </cell>
          <cell r="F43">
            <v>3734</v>
          </cell>
          <cell r="G43">
            <v>4143</v>
          </cell>
          <cell r="H43">
            <v>171</v>
          </cell>
          <cell r="I43">
            <v>2077</v>
          </cell>
          <cell r="L43">
            <v>0.58750000000000002</v>
          </cell>
        </row>
        <row r="44">
          <cell r="C44">
            <v>42</v>
          </cell>
          <cell r="D44">
            <v>2512</v>
          </cell>
          <cell r="E44">
            <v>4786</v>
          </cell>
          <cell r="F44">
            <v>5096</v>
          </cell>
          <cell r="G44">
            <v>2040</v>
          </cell>
          <cell r="H44">
            <v>167</v>
          </cell>
          <cell r="I44">
            <v>4296</v>
          </cell>
          <cell r="L44">
            <v>0.59166666666666667</v>
          </cell>
        </row>
        <row r="45">
          <cell r="C45">
            <v>43</v>
          </cell>
          <cell r="D45">
            <v>3135</v>
          </cell>
          <cell r="E45">
            <v>192</v>
          </cell>
          <cell r="F45">
            <v>1625</v>
          </cell>
          <cell r="G45">
            <v>2830</v>
          </cell>
          <cell r="H45">
            <v>81</v>
          </cell>
          <cell r="I45">
            <v>1714</v>
          </cell>
          <cell r="L45">
            <v>0.59583333333333333</v>
          </cell>
        </row>
        <row r="46">
          <cell r="C46">
            <v>44</v>
          </cell>
          <cell r="D46">
            <v>4859</v>
          </cell>
          <cell r="E46">
            <v>4212</v>
          </cell>
          <cell r="F46">
            <v>930</v>
          </cell>
          <cell r="G46">
            <v>3381</v>
          </cell>
          <cell r="H46">
            <v>4095</v>
          </cell>
          <cell r="I46">
            <v>1675</v>
          </cell>
          <cell r="L46">
            <v>0.6</v>
          </cell>
        </row>
        <row r="47">
          <cell r="C47">
            <v>45</v>
          </cell>
          <cell r="D47">
            <v>1306</v>
          </cell>
          <cell r="E47">
            <v>1259</v>
          </cell>
          <cell r="F47">
            <v>2530</v>
          </cell>
          <cell r="G47">
            <v>876</v>
          </cell>
          <cell r="H47">
            <v>2062</v>
          </cell>
          <cell r="I47">
            <v>2202</v>
          </cell>
          <cell r="L47">
            <v>0.60416666666666663</v>
          </cell>
        </row>
        <row r="48">
          <cell r="C48">
            <v>46</v>
          </cell>
          <cell r="D48">
            <v>4655</v>
          </cell>
          <cell r="E48">
            <v>3418</v>
          </cell>
          <cell r="F48">
            <v>1732</v>
          </cell>
          <cell r="G48">
            <v>1716</v>
          </cell>
          <cell r="H48">
            <v>5148</v>
          </cell>
          <cell r="I48">
            <v>3197</v>
          </cell>
          <cell r="L48">
            <v>0.60833333333333328</v>
          </cell>
        </row>
        <row r="49">
          <cell r="C49">
            <v>47</v>
          </cell>
          <cell r="D49">
            <v>4247</v>
          </cell>
          <cell r="E49">
            <v>1091</v>
          </cell>
          <cell r="F49">
            <v>938</v>
          </cell>
          <cell r="G49">
            <v>706</v>
          </cell>
          <cell r="H49">
            <v>537</v>
          </cell>
          <cell r="I49">
            <v>2705</v>
          </cell>
          <cell r="L49">
            <v>0.61249999999999993</v>
          </cell>
        </row>
        <row r="50">
          <cell r="C50">
            <v>48</v>
          </cell>
          <cell r="D50">
            <v>1622</v>
          </cell>
          <cell r="E50">
            <v>2826</v>
          </cell>
          <cell r="F50">
            <v>4804</v>
          </cell>
          <cell r="G50">
            <v>1736</v>
          </cell>
          <cell r="H50">
            <v>93</v>
          </cell>
          <cell r="I50">
            <v>3596</v>
          </cell>
          <cell r="L50">
            <v>0.6166666666666667</v>
          </cell>
        </row>
        <row r="51">
          <cell r="C51">
            <v>49</v>
          </cell>
          <cell r="D51">
            <v>3300</v>
          </cell>
          <cell r="E51">
            <v>2470</v>
          </cell>
          <cell r="F51">
            <v>269</v>
          </cell>
          <cell r="G51">
            <v>3018</v>
          </cell>
          <cell r="H51">
            <v>3081</v>
          </cell>
          <cell r="I51">
            <v>2081</v>
          </cell>
          <cell r="L51">
            <v>0.62083333333333335</v>
          </cell>
        </row>
        <row r="52">
          <cell r="C52">
            <v>50</v>
          </cell>
          <cell r="D52">
            <v>2039</v>
          </cell>
          <cell r="E52">
            <v>48</v>
          </cell>
          <cell r="F52">
            <v>2194</v>
          </cell>
          <cell r="G52">
            <v>3692</v>
          </cell>
          <cell r="H52">
            <v>2481</v>
          </cell>
          <cell r="I52">
            <v>4531</v>
          </cell>
          <cell r="L52">
            <v>0.625</v>
          </cell>
        </row>
        <row r="53">
          <cell r="C53">
            <v>51</v>
          </cell>
          <cell r="D53">
            <v>167</v>
          </cell>
          <cell r="E53">
            <v>2530</v>
          </cell>
          <cell r="F53">
            <v>3734</v>
          </cell>
          <cell r="G53">
            <v>3418</v>
          </cell>
          <cell r="H53">
            <v>2040</v>
          </cell>
          <cell r="I53">
            <v>1714</v>
          </cell>
          <cell r="L53">
            <v>0.62916666666666665</v>
          </cell>
        </row>
        <row r="54">
          <cell r="C54">
            <v>52</v>
          </cell>
          <cell r="D54">
            <v>930</v>
          </cell>
          <cell r="E54">
            <v>2062</v>
          </cell>
          <cell r="F54">
            <v>111</v>
          </cell>
          <cell r="G54">
            <v>1732</v>
          </cell>
          <cell r="H54">
            <v>4786</v>
          </cell>
          <cell r="I54">
            <v>4247</v>
          </cell>
          <cell r="L54">
            <v>0.6333333333333333</v>
          </cell>
        </row>
        <row r="55">
          <cell r="C55">
            <v>53</v>
          </cell>
          <cell r="D55">
            <v>1306</v>
          </cell>
          <cell r="E55">
            <v>171</v>
          </cell>
          <cell r="F55">
            <v>2826</v>
          </cell>
          <cell r="G55">
            <v>1622</v>
          </cell>
          <cell r="H55">
            <v>3197</v>
          </cell>
          <cell r="I55">
            <v>4212</v>
          </cell>
          <cell r="L55">
            <v>0.63750000000000007</v>
          </cell>
        </row>
        <row r="56">
          <cell r="C56">
            <v>54</v>
          </cell>
          <cell r="D56">
            <v>4859</v>
          </cell>
          <cell r="E56">
            <v>4296</v>
          </cell>
          <cell r="F56">
            <v>3018</v>
          </cell>
          <cell r="G56">
            <v>2705</v>
          </cell>
          <cell r="H56">
            <v>81</v>
          </cell>
          <cell r="I56">
            <v>4804</v>
          </cell>
          <cell r="L56">
            <v>0.64166666666666672</v>
          </cell>
        </row>
        <row r="57">
          <cell r="C57">
            <v>55</v>
          </cell>
          <cell r="D57">
            <v>2194</v>
          </cell>
          <cell r="E57">
            <v>2470</v>
          </cell>
          <cell r="F57">
            <v>706</v>
          </cell>
          <cell r="G57">
            <v>2512</v>
          </cell>
          <cell r="H57">
            <v>269</v>
          </cell>
          <cell r="I57">
            <v>1259</v>
          </cell>
          <cell r="L57">
            <v>0.64583333333333337</v>
          </cell>
        </row>
        <row r="58">
          <cell r="C58">
            <v>56</v>
          </cell>
          <cell r="D58">
            <v>1736</v>
          </cell>
          <cell r="E58">
            <v>3381</v>
          </cell>
          <cell r="F58">
            <v>4655</v>
          </cell>
          <cell r="G58">
            <v>4531</v>
          </cell>
          <cell r="H58">
            <v>4646</v>
          </cell>
          <cell r="I58">
            <v>192</v>
          </cell>
          <cell r="L58">
            <v>0.65</v>
          </cell>
        </row>
        <row r="59">
          <cell r="C59">
            <v>57</v>
          </cell>
          <cell r="D59">
            <v>5148</v>
          </cell>
          <cell r="E59">
            <v>4095</v>
          </cell>
          <cell r="F59">
            <v>2481</v>
          </cell>
          <cell r="G59">
            <v>938</v>
          </cell>
          <cell r="H59">
            <v>2202</v>
          </cell>
          <cell r="I59">
            <v>1625</v>
          </cell>
          <cell r="L59">
            <v>0.65416666666666667</v>
          </cell>
        </row>
        <row r="60">
          <cell r="C60">
            <v>58</v>
          </cell>
          <cell r="D60">
            <v>2077</v>
          </cell>
          <cell r="E60">
            <v>1716</v>
          </cell>
          <cell r="F60">
            <v>3081</v>
          </cell>
          <cell r="G60">
            <v>48</v>
          </cell>
          <cell r="H60">
            <v>1675</v>
          </cell>
          <cell r="I60">
            <v>1091</v>
          </cell>
          <cell r="L60">
            <v>0.65833333333333333</v>
          </cell>
        </row>
        <row r="61">
          <cell r="C61">
            <v>59</v>
          </cell>
          <cell r="D61">
            <v>2830</v>
          </cell>
          <cell r="E61">
            <v>4143</v>
          </cell>
          <cell r="F61">
            <v>93</v>
          </cell>
          <cell r="G61">
            <v>3692</v>
          </cell>
          <cell r="H61">
            <v>2081</v>
          </cell>
          <cell r="I61">
            <v>5096</v>
          </cell>
          <cell r="L61">
            <v>0.66249999999999998</v>
          </cell>
        </row>
        <row r="62">
          <cell r="C62">
            <v>60</v>
          </cell>
          <cell r="D62">
            <v>3596</v>
          </cell>
          <cell r="E62">
            <v>3300</v>
          </cell>
          <cell r="F62">
            <v>537</v>
          </cell>
          <cell r="G62">
            <v>876</v>
          </cell>
          <cell r="H62">
            <v>3135</v>
          </cell>
          <cell r="I62">
            <v>2039</v>
          </cell>
          <cell r="L62">
            <v>0.66666666666666663</v>
          </cell>
        </row>
        <row r="63">
          <cell r="C63">
            <v>61</v>
          </cell>
          <cell r="D63">
            <v>4296</v>
          </cell>
          <cell r="E63">
            <v>1714</v>
          </cell>
          <cell r="F63">
            <v>4531</v>
          </cell>
          <cell r="G63">
            <v>1306</v>
          </cell>
          <cell r="H63">
            <v>4247</v>
          </cell>
          <cell r="I63">
            <v>3018</v>
          </cell>
          <cell r="L63">
            <v>0.67083333333333339</v>
          </cell>
        </row>
        <row r="64">
          <cell r="C64">
            <v>62</v>
          </cell>
          <cell r="D64">
            <v>938</v>
          </cell>
          <cell r="E64">
            <v>2512</v>
          </cell>
          <cell r="F64">
            <v>2530</v>
          </cell>
          <cell r="G64">
            <v>1625</v>
          </cell>
          <cell r="H64">
            <v>3734</v>
          </cell>
          <cell r="I64">
            <v>3381</v>
          </cell>
          <cell r="L64">
            <v>0.67499999999999993</v>
          </cell>
        </row>
        <row r="65">
          <cell r="C65">
            <v>63</v>
          </cell>
          <cell r="D65">
            <v>167</v>
          </cell>
          <cell r="E65">
            <v>2062</v>
          </cell>
          <cell r="F65">
            <v>4212</v>
          </cell>
          <cell r="G65">
            <v>1736</v>
          </cell>
          <cell r="H65">
            <v>2194</v>
          </cell>
          <cell r="I65">
            <v>1716</v>
          </cell>
          <cell r="L65">
            <v>0.6791666666666667</v>
          </cell>
        </row>
        <row r="66">
          <cell r="C66">
            <v>64</v>
          </cell>
          <cell r="D66">
            <v>1091</v>
          </cell>
          <cell r="E66">
            <v>706</v>
          </cell>
          <cell r="F66">
            <v>1732</v>
          </cell>
          <cell r="G66">
            <v>4143</v>
          </cell>
          <cell r="H66">
            <v>2826</v>
          </cell>
          <cell r="I66">
            <v>81</v>
          </cell>
          <cell r="L66">
            <v>0.68333333333333324</v>
          </cell>
        </row>
        <row r="67">
          <cell r="C67">
            <v>65</v>
          </cell>
          <cell r="D67">
            <v>876</v>
          </cell>
          <cell r="E67">
            <v>269</v>
          </cell>
          <cell r="F67">
            <v>48</v>
          </cell>
          <cell r="G67">
            <v>2040</v>
          </cell>
          <cell r="H67">
            <v>930</v>
          </cell>
          <cell r="I67">
            <v>2705</v>
          </cell>
          <cell r="L67">
            <v>0.6875</v>
          </cell>
        </row>
        <row r="68">
          <cell r="C68">
            <v>66</v>
          </cell>
          <cell r="D68">
            <v>1259</v>
          </cell>
          <cell r="E68">
            <v>3418</v>
          </cell>
          <cell r="F68">
            <v>2202</v>
          </cell>
          <cell r="G68">
            <v>111</v>
          </cell>
          <cell r="H68">
            <v>192</v>
          </cell>
          <cell r="I68">
            <v>537</v>
          </cell>
          <cell r="L68">
            <v>0.69166666666666676</v>
          </cell>
        </row>
        <row r="69">
          <cell r="C69">
            <v>67</v>
          </cell>
          <cell r="D69">
            <v>3135</v>
          </cell>
          <cell r="E69">
            <v>5096</v>
          </cell>
          <cell r="F69">
            <v>3300</v>
          </cell>
          <cell r="G69">
            <v>2077</v>
          </cell>
          <cell r="H69">
            <v>4095</v>
          </cell>
          <cell r="I69">
            <v>4804</v>
          </cell>
          <cell r="L69">
            <v>0.6958333333333333</v>
          </cell>
        </row>
        <row r="70">
          <cell r="C70">
            <v>68</v>
          </cell>
          <cell r="D70">
            <v>5148</v>
          </cell>
          <cell r="E70">
            <v>4786</v>
          </cell>
          <cell r="F70">
            <v>2039</v>
          </cell>
          <cell r="G70">
            <v>2470</v>
          </cell>
          <cell r="H70">
            <v>93</v>
          </cell>
          <cell r="I70">
            <v>1622</v>
          </cell>
          <cell r="L70">
            <v>0.70000000000000007</v>
          </cell>
        </row>
        <row r="71">
          <cell r="C71">
            <v>69</v>
          </cell>
          <cell r="D71">
            <v>3692</v>
          </cell>
          <cell r="E71">
            <v>2830</v>
          </cell>
          <cell r="F71">
            <v>4655</v>
          </cell>
          <cell r="G71">
            <v>4859</v>
          </cell>
          <cell r="H71">
            <v>3081</v>
          </cell>
          <cell r="I71">
            <v>171</v>
          </cell>
          <cell r="L71">
            <v>0.70416666666666661</v>
          </cell>
        </row>
        <row r="72">
          <cell r="C72">
            <v>70</v>
          </cell>
          <cell r="D72">
            <v>4646</v>
          </cell>
          <cell r="E72">
            <v>3596</v>
          </cell>
          <cell r="F72">
            <v>3197</v>
          </cell>
          <cell r="G72">
            <v>1675</v>
          </cell>
          <cell r="H72">
            <v>2081</v>
          </cell>
          <cell r="I72">
            <v>2481</v>
          </cell>
          <cell r="L72">
            <v>0.70833333333333337</v>
          </cell>
        </row>
        <row r="73">
          <cell r="C73">
            <v>71</v>
          </cell>
          <cell r="D73">
            <v>876</v>
          </cell>
          <cell r="E73">
            <v>1625</v>
          </cell>
          <cell r="F73">
            <v>2194</v>
          </cell>
          <cell r="G73">
            <v>1732</v>
          </cell>
          <cell r="H73">
            <v>3381</v>
          </cell>
          <cell r="I73">
            <v>4143</v>
          </cell>
          <cell r="L73">
            <v>0.71250000000000002</v>
          </cell>
        </row>
        <row r="74">
          <cell r="C74">
            <v>72</v>
          </cell>
          <cell r="D74">
            <v>2040</v>
          </cell>
          <cell r="E74">
            <v>537</v>
          </cell>
          <cell r="F74">
            <v>1259</v>
          </cell>
          <cell r="G74">
            <v>1716</v>
          </cell>
          <cell r="H74">
            <v>4804</v>
          </cell>
          <cell r="I74">
            <v>4212</v>
          </cell>
          <cell r="L74">
            <v>0.71666666666666667</v>
          </cell>
        </row>
        <row r="75">
          <cell r="C75">
            <v>73</v>
          </cell>
          <cell r="D75">
            <v>167</v>
          </cell>
          <cell r="E75">
            <v>4095</v>
          </cell>
          <cell r="F75">
            <v>706</v>
          </cell>
          <cell r="G75">
            <v>1306</v>
          </cell>
          <cell r="H75">
            <v>111</v>
          </cell>
          <cell r="I75">
            <v>93</v>
          </cell>
          <cell r="L75">
            <v>0.375</v>
          </cell>
        </row>
        <row r="76">
          <cell r="C76">
            <v>74</v>
          </cell>
          <cell r="D76">
            <v>2830</v>
          </cell>
          <cell r="E76">
            <v>2705</v>
          </cell>
          <cell r="F76">
            <v>3300</v>
          </cell>
          <cell r="G76">
            <v>3734</v>
          </cell>
          <cell r="H76">
            <v>2470</v>
          </cell>
          <cell r="I76">
            <v>3418</v>
          </cell>
          <cell r="L76">
            <v>0.37916666666666665</v>
          </cell>
        </row>
        <row r="77">
          <cell r="C77">
            <v>75</v>
          </cell>
          <cell r="D77">
            <v>2039</v>
          </cell>
          <cell r="E77">
            <v>1714</v>
          </cell>
          <cell r="F77">
            <v>3692</v>
          </cell>
          <cell r="G77">
            <v>4646</v>
          </cell>
          <cell r="H77">
            <v>930</v>
          </cell>
          <cell r="I77">
            <v>2826</v>
          </cell>
          <cell r="L77">
            <v>0.3833333333333333</v>
          </cell>
        </row>
        <row r="78">
          <cell r="C78">
            <v>76</v>
          </cell>
          <cell r="D78">
            <v>192</v>
          </cell>
          <cell r="E78">
            <v>1675</v>
          </cell>
          <cell r="F78">
            <v>3081</v>
          </cell>
          <cell r="G78">
            <v>3596</v>
          </cell>
          <cell r="H78">
            <v>3018</v>
          </cell>
          <cell r="I78">
            <v>2512</v>
          </cell>
          <cell r="L78">
            <v>0.38750000000000001</v>
          </cell>
        </row>
        <row r="79">
          <cell r="C79">
            <v>77</v>
          </cell>
          <cell r="D79">
            <v>1091</v>
          </cell>
          <cell r="E79">
            <v>5148</v>
          </cell>
          <cell r="F79">
            <v>2081</v>
          </cell>
          <cell r="G79">
            <v>2481</v>
          </cell>
          <cell r="H79">
            <v>2530</v>
          </cell>
          <cell r="I79">
            <v>4786</v>
          </cell>
          <cell r="L79">
            <v>0.39166666666666666</v>
          </cell>
        </row>
        <row r="80">
          <cell r="C80">
            <v>78</v>
          </cell>
          <cell r="D80">
            <v>2077</v>
          </cell>
          <cell r="E80">
            <v>1736</v>
          </cell>
          <cell r="F80">
            <v>81</v>
          </cell>
          <cell r="G80">
            <v>269</v>
          </cell>
          <cell r="H80">
            <v>171</v>
          </cell>
          <cell r="I80">
            <v>4247</v>
          </cell>
          <cell r="L80">
            <v>0.39583333333333331</v>
          </cell>
        </row>
        <row r="81">
          <cell r="C81">
            <v>79</v>
          </cell>
          <cell r="D81">
            <v>1622</v>
          </cell>
          <cell r="E81">
            <v>4655</v>
          </cell>
          <cell r="F81">
            <v>2062</v>
          </cell>
          <cell r="G81">
            <v>48</v>
          </cell>
          <cell r="H81">
            <v>3135</v>
          </cell>
          <cell r="I81">
            <v>938</v>
          </cell>
          <cell r="L81">
            <v>0.39999999999999997</v>
          </cell>
        </row>
        <row r="82">
          <cell r="C82">
            <v>80</v>
          </cell>
          <cell r="D82">
            <v>4531</v>
          </cell>
          <cell r="E82">
            <v>4859</v>
          </cell>
          <cell r="F82">
            <v>2202</v>
          </cell>
          <cell r="G82">
            <v>4296</v>
          </cell>
          <cell r="H82">
            <v>3197</v>
          </cell>
          <cell r="I82">
            <v>5096</v>
          </cell>
          <cell r="L82">
            <v>0.40416666666666662</v>
          </cell>
        </row>
        <row r="83">
          <cell r="C83">
            <v>81</v>
          </cell>
          <cell r="D83">
            <v>4095</v>
          </cell>
          <cell r="E83">
            <v>111</v>
          </cell>
          <cell r="F83">
            <v>3018</v>
          </cell>
          <cell r="G83">
            <v>3381</v>
          </cell>
          <cell r="H83">
            <v>2830</v>
          </cell>
          <cell r="I83">
            <v>2826</v>
          </cell>
          <cell r="L83">
            <v>0.40833333333333338</v>
          </cell>
        </row>
        <row r="84">
          <cell r="C84">
            <v>82</v>
          </cell>
          <cell r="D84">
            <v>3734</v>
          </cell>
          <cell r="E84">
            <v>2081</v>
          </cell>
          <cell r="F84">
            <v>1714</v>
          </cell>
          <cell r="G84">
            <v>1732</v>
          </cell>
          <cell r="H84">
            <v>1259</v>
          </cell>
          <cell r="I84">
            <v>3081</v>
          </cell>
          <cell r="L84">
            <v>0.41250000000000003</v>
          </cell>
        </row>
        <row r="85">
          <cell r="C85">
            <v>83</v>
          </cell>
          <cell r="D85">
            <v>1675</v>
          </cell>
          <cell r="E85">
            <v>2705</v>
          </cell>
          <cell r="F85">
            <v>171</v>
          </cell>
          <cell r="G85">
            <v>167</v>
          </cell>
          <cell r="H85">
            <v>5148</v>
          </cell>
          <cell r="I85">
            <v>537</v>
          </cell>
          <cell r="L85">
            <v>0.41666666666666669</v>
          </cell>
        </row>
        <row r="86">
          <cell r="C86">
            <v>84</v>
          </cell>
          <cell r="D86">
            <v>2062</v>
          </cell>
          <cell r="E86">
            <v>81</v>
          </cell>
          <cell r="F86">
            <v>938</v>
          </cell>
          <cell r="G86">
            <v>2512</v>
          </cell>
          <cell r="H86">
            <v>93</v>
          </cell>
          <cell r="I86">
            <v>4646</v>
          </cell>
          <cell r="L86">
            <v>0.42083333333333334</v>
          </cell>
        </row>
        <row r="87">
          <cell r="C87">
            <v>85</v>
          </cell>
          <cell r="D87">
            <v>706</v>
          </cell>
          <cell r="E87">
            <v>3692</v>
          </cell>
          <cell r="F87">
            <v>3300</v>
          </cell>
          <cell r="G87">
            <v>1625</v>
          </cell>
          <cell r="H87">
            <v>4296</v>
          </cell>
          <cell r="I87">
            <v>1622</v>
          </cell>
          <cell r="L87">
            <v>0.42499999999999999</v>
          </cell>
        </row>
        <row r="88">
          <cell r="C88">
            <v>86</v>
          </cell>
          <cell r="D88">
            <v>4786</v>
          </cell>
          <cell r="E88">
            <v>4143</v>
          </cell>
          <cell r="F88">
            <v>1736</v>
          </cell>
          <cell r="G88">
            <v>4655</v>
          </cell>
          <cell r="H88">
            <v>48</v>
          </cell>
          <cell r="I88">
            <v>2202</v>
          </cell>
          <cell r="L88">
            <v>0.4291666666666667</v>
          </cell>
        </row>
        <row r="89">
          <cell r="C89">
            <v>87</v>
          </cell>
          <cell r="D89">
            <v>4531</v>
          </cell>
          <cell r="E89">
            <v>2077</v>
          </cell>
          <cell r="F89">
            <v>1091</v>
          </cell>
          <cell r="G89">
            <v>876</v>
          </cell>
          <cell r="H89">
            <v>3418</v>
          </cell>
          <cell r="I89">
            <v>4212</v>
          </cell>
          <cell r="L89">
            <v>0.43333333333333335</v>
          </cell>
        </row>
        <row r="90">
          <cell r="C90">
            <v>88</v>
          </cell>
          <cell r="D90">
            <v>4247</v>
          </cell>
          <cell r="E90">
            <v>2039</v>
          </cell>
          <cell r="F90">
            <v>2481</v>
          </cell>
          <cell r="G90">
            <v>4859</v>
          </cell>
          <cell r="H90">
            <v>269</v>
          </cell>
          <cell r="I90">
            <v>2040</v>
          </cell>
          <cell r="L90">
            <v>0.4375</v>
          </cell>
        </row>
        <row r="91">
          <cell r="C91">
            <v>89</v>
          </cell>
          <cell r="D91">
            <v>3135</v>
          </cell>
          <cell r="E91">
            <v>4804</v>
          </cell>
          <cell r="F91">
            <v>3197</v>
          </cell>
          <cell r="G91">
            <v>192</v>
          </cell>
          <cell r="H91">
            <v>2470</v>
          </cell>
          <cell r="I91">
            <v>2530</v>
          </cell>
          <cell r="L91">
            <v>0.44166666666666665</v>
          </cell>
        </row>
        <row r="92">
          <cell r="C92">
            <v>90</v>
          </cell>
          <cell r="D92">
            <v>5096</v>
          </cell>
          <cell r="E92">
            <v>1716</v>
          </cell>
          <cell r="F92">
            <v>1306</v>
          </cell>
          <cell r="G92">
            <v>3596</v>
          </cell>
          <cell r="H92">
            <v>2194</v>
          </cell>
          <cell r="I92">
            <v>930</v>
          </cell>
          <cell r="L92">
            <v>0.4458333333333333</v>
          </cell>
        </row>
        <row r="93">
          <cell r="C93">
            <v>91</v>
          </cell>
          <cell r="D93">
            <v>938</v>
          </cell>
          <cell r="E93">
            <v>5148</v>
          </cell>
          <cell r="F93">
            <v>3692</v>
          </cell>
          <cell r="G93">
            <v>3018</v>
          </cell>
          <cell r="H93">
            <v>167</v>
          </cell>
          <cell r="I93">
            <v>81</v>
          </cell>
          <cell r="L93">
            <v>0.45</v>
          </cell>
        </row>
        <row r="94">
          <cell r="C94">
            <v>92</v>
          </cell>
          <cell r="D94">
            <v>4212</v>
          </cell>
          <cell r="E94">
            <v>4786</v>
          </cell>
          <cell r="F94">
            <v>706</v>
          </cell>
          <cell r="G94">
            <v>2830</v>
          </cell>
          <cell r="H94">
            <v>876</v>
          </cell>
          <cell r="I94">
            <v>4646</v>
          </cell>
          <cell r="L94">
            <v>0.45416666666666666</v>
          </cell>
        </row>
        <row r="95">
          <cell r="C95">
            <v>93</v>
          </cell>
          <cell r="D95">
            <v>2040</v>
          </cell>
          <cell r="E95">
            <v>1736</v>
          </cell>
          <cell r="F95">
            <v>2481</v>
          </cell>
          <cell r="G95">
            <v>3300</v>
          </cell>
          <cell r="H95">
            <v>111</v>
          </cell>
          <cell r="I95">
            <v>1714</v>
          </cell>
          <cell r="L95">
            <v>0.45833333333333331</v>
          </cell>
        </row>
        <row r="96">
          <cell r="C96">
            <v>94</v>
          </cell>
          <cell r="D96">
            <v>4296</v>
          </cell>
          <cell r="E96">
            <v>3381</v>
          </cell>
          <cell r="F96">
            <v>1259</v>
          </cell>
          <cell r="G96">
            <v>2039</v>
          </cell>
          <cell r="H96">
            <v>171</v>
          </cell>
          <cell r="I96">
            <v>1091</v>
          </cell>
          <cell r="L96">
            <v>0.46249999999999997</v>
          </cell>
        </row>
        <row r="97">
          <cell r="C97">
            <v>95</v>
          </cell>
          <cell r="D97">
            <v>93</v>
          </cell>
          <cell r="E97">
            <v>1716</v>
          </cell>
          <cell r="F97">
            <v>2081</v>
          </cell>
          <cell r="G97">
            <v>2705</v>
          </cell>
          <cell r="H97">
            <v>1306</v>
          </cell>
          <cell r="I97">
            <v>3135</v>
          </cell>
          <cell r="L97">
            <v>0.46666666666666662</v>
          </cell>
        </row>
        <row r="98">
          <cell r="C98">
            <v>96</v>
          </cell>
          <cell r="D98">
            <v>3197</v>
          </cell>
          <cell r="E98">
            <v>3418</v>
          </cell>
          <cell r="F98">
            <v>1625</v>
          </cell>
          <cell r="G98">
            <v>269</v>
          </cell>
          <cell r="H98">
            <v>2062</v>
          </cell>
          <cell r="I98">
            <v>5096</v>
          </cell>
          <cell r="L98">
            <v>0.47083333333333338</v>
          </cell>
        </row>
        <row r="99">
          <cell r="C99">
            <v>97</v>
          </cell>
          <cell r="D99">
            <v>4095</v>
          </cell>
          <cell r="E99">
            <v>48</v>
          </cell>
          <cell r="F99">
            <v>1732</v>
          </cell>
          <cell r="G99">
            <v>2512</v>
          </cell>
          <cell r="H99">
            <v>4804</v>
          </cell>
          <cell r="I99">
            <v>1675</v>
          </cell>
          <cell r="L99">
            <v>0.47500000000000003</v>
          </cell>
        </row>
        <row r="100">
          <cell r="C100">
            <v>98</v>
          </cell>
          <cell r="D100">
            <v>4143</v>
          </cell>
          <cell r="E100">
            <v>2530</v>
          </cell>
          <cell r="F100">
            <v>537</v>
          </cell>
          <cell r="G100">
            <v>2826</v>
          </cell>
          <cell r="H100">
            <v>3081</v>
          </cell>
          <cell r="I100">
            <v>4531</v>
          </cell>
          <cell r="L100">
            <v>0.47916666666666669</v>
          </cell>
        </row>
        <row r="101">
          <cell r="C101">
            <v>99</v>
          </cell>
          <cell r="D101">
            <v>192</v>
          </cell>
          <cell r="E101">
            <v>1622</v>
          </cell>
          <cell r="F101">
            <v>2194</v>
          </cell>
          <cell r="G101">
            <v>3734</v>
          </cell>
          <cell r="H101">
            <v>4247</v>
          </cell>
          <cell r="I101">
            <v>4859</v>
          </cell>
          <cell r="L101">
            <v>0.48333333333333334</v>
          </cell>
        </row>
        <row r="102">
          <cell r="C102">
            <v>100</v>
          </cell>
          <cell r="D102">
            <v>2470</v>
          </cell>
          <cell r="E102">
            <v>4655</v>
          </cell>
          <cell r="F102">
            <v>3596</v>
          </cell>
          <cell r="G102">
            <v>930</v>
          </cell>
          <cell r="H102">
            <v>2077</v>
          </cell>
          <cell r="I102">
            <v>2202</v>
          </cell>
          <cell r="L102">
            <v>0.48749999999999999</v>
          </cell>
        </row>
        <row r="106">
          <cell r="C106">
            <v>1</v>
          </cell>
          <cell r="D106">
            <v>2470</v>
          </cell>
          <cell r="E106">
            <v>4655</v>
          </cell>
          <cell r="F106">
            <v>1736</v>
          </cell>
          <cell r="G106">
            <v>930</v>
          </cell>
          <cell r="H106">
            <v>2077</v>
          </cell>
          <cell r="I106">
            <v>2202</v>
          </cell>
          <cell r="J106">
            <v>145</v>
          </cell>
          <cell r="K106">
            <v>103</v>
          </cell>
          <cell r="L106" t="str">
            <v>Qtr 1-1</v>
          </cell>
        </row>
        <row r="107">
          <cell r="C107">
            <v>2</v>
          </cell>
          <cell r="D107">
            <v>2470</v>
          </cell>
          <cell r="E107">
            <v>4655</v>
          </cell>
          <cell r="F107">
            <v>1736</v>
          </cell>
          <cell r="G107">
            <v>930</v>
          </cell>
          <cell r="H107">
            <v>2077</v>
          </cell>
          <cell r="I107">
            <v>2202</v>
          </cell>
          <cell r="J107">
            <v>186</v>
          </cell>
          <cell r="K107">
            <v>94</v>
          </cell>
          <cell r="L107" t="str">
            <v>Qtr 2-1</v>
          </cell>
        </row>
        <row r="108">
          <cell r="C108">
            <v>3</v>
          </cell>
          <cell r="D108">
            <v>2470</v>
          </cell>
          <cell r="E108">
            <v>4655</v>
          </cell>
          <cell r="F108">
            <v>1736</v>
          </cell>
          <cell r="G108">
            <v>930</v>
          </cell>
          <cell r="H108">
            <v>2077</v>
          </cell>
          <cell r="I108">
            <v>2202</v>
          </cell>
          <cell r="J108">
            <v>117</v>
          </cell>
          <cell r="K108">
            <v>83</v>
          </cell>
          <cell r="L108" t="str">
            <v>Qtr 3-1</v>
          </cell>
        </row>
        <row r="109">
          <cell r="C109">
            <v>4</v>
          </cell>
          <cell r="D109">
            <v>2470</v>
          </cell>
          <cell r="E109">
            <v>4655</v>
          </cell>
          <cell r="F109">
            <v>1736</v>
          </cell>
          <cell r="G109">
            <v>930</v>
          </cell>
          <cell r="H109">
            <v>2077</v>
          </cell>
          <cell r="I109">
            <v>2202</v>
          </cell>
          <cell r="J109">
            <v>94</v>
          </cell>
          <cell r="K109">
            <v>104</v>
          </cell>
          <cell r="L109" t="str">
            <v>Qtr 4-1</v>
          </cell>
        </row>
        <row r="110">
          <cell r="C110">
            <v>5</v>
          </cell>
          <cell r="D110">
            <v>2470</v>
          </cell>
          <cell r="E110">
            <v>4655</v>
          </cell>
          <cell r="F110">
            <v>1736</v>
          </cell>
          <cell r="G110">
            <v>930</v>
          </cell>
          <cell r="H110">
            <v>2077</v>
          </cell>
          <cell r="I110">
            <v>2202</v>
          </cell>
          <cell r="J110">
            <v>112</v>
          </cell>
          <cell r="K110">
            <v>83</v>
          </cell>
          <cell r="L110" t="str">
            <v>Qtr 1-2</v>
          </cell>
        </row>
        <row r="111">
          <cell r="C111">
            <v>6</v>
          </cell>
          <cell r="D111">
            <v>2470</v>
          </cell>
          <cell r="E111">
            <v>4655</v>
          </cell>
          <cell r="F111">
            <v>1736</v>
          </cell>
          <cell r="G111">
            <v>930</v>
          </cell>
          <cell r="H111">
            <v>2077</v>
          </cell>
          <cell r="I111">
            <v>2202</v>
          </cell>
          <cell r="J111">
            <v>133</v>
          </cell>
          <cell r="K111">
            <v>72</v>
          </cell>
          <cell r="L111" t="str">
            <v>Qtr 2-2</v>
          </cell>
        </row>
        <row r="112">
          <cell r="C112">
            <v>7</v>
          </cell>
          <cell r="D112">
            <v>2470</v>
          </cell>
          <cell r="E112">
            <v>4655</v>
          </cell>
          <cell r="F112">
            <v>1736</v>
          </cell>
          <cell r="G112">
            <v>930</v>
          </cell>
          <cell r="H112">
            <v>2077</v>
          </cell>
          <cell r="I112">
            <v>2202</v>
          </cell>
          <cell r="J112">
            <v>140</v>
          </cell>
          <cell r="K112">
            <v>77</v>
          </cell>
          <cell r="L112" t="str">
            <v>Qtr 3-2</v>
          </cell>
        </row>
        <row r="113">
          <cell r="C113">
            <v>8</v>
          </cell>
          <cell r="D113">
            <v>2470</v>
          </cell>
          <cell r="E113">
            <v>4655</v>
          </cell>
          <cell r="F113">
            <v>1736</v>
          </cell>
          <cell r="G113">
            <v>930</v>
          </cell>
          <cell r="H113">
            <v>2077</v>
          </cell>
          <cell r="I113">
            <v>2202</v>
          </cell>
          <cell r="J113">
            <v>68</v>
          </cell>
          <cell r="K113">
            <v>71</v>
          </cell>
          <cell r="L113" t="str">
            <v>Qtr 4-2</v>
          </cell>
        </row>
        <row r="114">
          <cell r="C114">
            <v>13</v>
          </cell>
          <cell r="D114">
            <v>2470</v>
          </cell>
          <cell r="E114">
            <v>4655</v>
          </cell>
          <cell r="F114">
            <v>1736</v>
          </cell>
          <cell r="G114">
            <v>930</v>
          </cell>
          <cell r="H114">
            <v>2077</v>
          </cell>
          <cell r="I114">
            <v>2202</v>
          </cell>
          <cell r="J114">
            <v>67</v>
          </cell>
          <cell r="K114">
            <v>133</v>
          </cell>
          <cell r="L114" t="str">
            <v>Semi 1-1</v>
          </cell>
        </row>
        <row r="115">
          <cell r="C115">
            <v>14</v>
          </cell>
          <cell r="D115">
            <v>2470</v>
          </cell>
          <cell r="E115">
            <v>4655</v>
          </cell>
          <cell r="F115">
            <v>1736</v>
          </cell>
          <cell r="G115">
            <v>930</v>
          </cell>
          <cell r="H115">
            <v>2077</v>
          </cell>
          <cell r="I115">
            <v>2202</v>
          </cell>
          <cell r="J115">
            <v>159</v>
          </cell>
          <cell r="K115">
            <v>134</v>
          </cell>
          <cell r="L115" t="str">
            <v>Semi 2-1</v>
          </cell>
        </row>
        <row r="116">
          <cell r="C116">
            <v>15</v>
          </cell>
          <cell r="D116">
            <v>2470</v>
          </cell>
          <cell r="E116">
            <v>4655</v>
          </cell>
          <cell r="F116">
            <v>1736</v>
          </cell>
          <cell r="G116">
            <v>930</v>
          </cell>
          <cell r="H116">
            <v>2077</v>
          </cell>
          <cell r="I116">
            <v>2202</v>
          </cell>
          <cell r="J116">
            <v>30</v>
          </cell>
          <cell r="K116">
            <v>126</v>
          </cell>
          <cell r="L116" t="str">
            <v>Semi 1-2</v>
          </cell>
        </row>
        <row r="117">
          <cell r="C117">
            <v>16</v>
          </cell>
          <cell r="D117">
            <v>2470</v>
          </cell>
          <cell r="E117">
            <v>4655</v>
          </cell>
          <cell r="F117">
            <v>1736</v>
          </cell>
          <cell r="G117">
            <v>930</v>
          </cell>
          <cell r="H117">
            <v>2077</v>
          </cell>
          <cell r="I117">
            <v>2202</v>
          </cell>
          <cell r="J117">
            <v>90</v>
          </cell>
          <cell r="K117">
            <v>109</v>
          </cell>
          <cell r="L117" t="str">
            <v>Semi 2-2</v>
          </cell>
        </row>
        <row r="118">
          <cell r="C118">
            <v>18</v>
          </cell>
          <cell r="D118">
            <v>2470</v>
          </cell>
          <cell r="E118">
            <v>4655</v>
          </cell>
          <cell r="F118">
            <v>1736</v>
          </cell>
          <cell r="G118">
            <v>930</v>
          </cell>
          <cell r="H118">
            <v>2077</v>
          </cell>
          <cell r="I118">
            <v>2202</v>
          </cell>
          <cell r="J118">
            <v>105</v>
          </cell>
          <cell r="K118">
            <v>66</v>
          </cell>
          <cell r="L118" t="str">
            <v>Semi 2-3</v>
          </cell>
        </row>
        <row r="119">
          <cell r="C119">
            <v>19</v>
          </cell>
          <cell r="D119">
            <v>2470</v>
          </cell>
          <cell r="E119">
            <v>4655</v>
          </cell>
          <cell r="F119">
            <v>1736</v>
          </cell>
          <cell r="G119">
            <v>930</v>
          </cell>
          <cell r="H119">
            <v>2077</v>
          </cell>
          <cell r="I119">
            <v>2202</v>
          </cell>
          <cell r="J119">
            <v>112</v>
          </cell>
          <cell r="K119">
            <v>116</v>
          </cell>
          <cell r="L119" t="str">
            <v>Final 1-1</v>
          </cell>
        </row>
        <row r="120">
          <cell r="C120">
            <v>20</v>
          </cell>
          <cell r="D120">
            <v>2470</v>
          </cell>
          <cell r="E120">
            <v>4655</v>
          </cell>
          <cell r="F120">
            <v>1736</v>
          </cell>
          <cell r="G120">
            <v>930</v>
          </cell>
          <cell r="H120">
            <v>2077</v>
          </cell>
          <cell r="I120">
            <v>2202</v>
          </cell>
          <cell r="J120">
            <v>143</v>
          </cell>
          <cell r="K120">
            <v>112</v>
          </cell>
          <cell r="L120" t="str">
            <v>Final 1-2</v>
          </cell>
        </row>
        <row r="121">
          <cell r="C121">
            <v>21</v>
          </cell>
          <cell r="D121">
            <v>2470</v>
          </cell>
          <cell r="E121">
            <v>4655</v>
          </cell>
          <cell r="F121">
            <v>1736</v>
          </cell>
          <cell r="G121">
            <v>930</v>
          </cell>
          <cell r="H121">
            <v>2077</v>
          </cell>
          <cell r="I121">
            <v>2202</v>
          </cell>
          <cell r="J121">
            <v>63</v>
          </cell>
          <cell r="K121">
            <v>81</v>
          </cell>
          <cell r="L121" t="str">
            <v>Final 1-3</v>
          </cell>
        </row>
      </sheetData>
      <sheetData sheetId="18">
        <row r="2">
          <cell r="C2" t="str">
            <v>QS</v>
          </cell>
        </row>
      </sheetData>
      <sheetData sheetId="19"/>
      <sheetData sheetId="2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ante" refreshedDate="42432.80014201389" createdVersion="5" refreshedVersion="5" minRefreshableVersion="3" recordCount="7">
  <cacheSource type="worksheet">
    <worksheetSource ref="H2:AQ9" sheet="Data"/>
  </cacheSource>
  <cacheFields count="37">
    <cacheField name="scout name in                      " numFmtId="0">
      <sharedItems containsNonDate="0" containsString="0" containsBlank="1"/>
    </cacheField>
    <cacheField name="team number in                     " numFmtId="0">
      <sharedItems containsSemiMixedTypes="0" containsString="0" containsNumber="1" containsInteger="1" minValue="1736" maxValue="1742"/>
    </cacheField>
    <cacheField name="match number in                    " numFmtId="0">
      <sharedItems containsSemiMixedTypes="0" containsString="0" containsNumber="1" containsInteger="1" minValue="1" maxValue="1"/>
    </cacheField>
    <cacheField name="match type                         " numFmtId="0">
      <sharedItems count="3">
        <s v="Qualification"/>
        <s v="Elims"/>
        <s v="Practice"/>
      </sharedItems>
    </cacheField>
    <cacheField name="starting ball                      " numFmtId="0">
      <sharedItems containsSemiMixedTypes="0" containsString="0" containsNumber="1" containsInteger="1" minValue="0" maxValue="0" count="1">
        <n v="0"/>
      </sharedItems>
    </cacheField>
    <cacheField name="floor pickup                       " numFmtId="0">
      <sharedItems containsSemiMixedTypes="0" containsString="0" containsNumber="1" containsInteger="1" minValue="0" maxValue="0"/>
    </cacheField>
    <cacheField name="in area                            " numFmtId="0">
      <sharedItems containsSemiMixedTypes="0" containsString="0" containsNumber="1" containsInteger="1" minValue="0" maxValue="0"/>
    </cacheField>
    <cacheField name="auto pts display                   " numFmtId="0">
      <sharedItems containsSemiMixedTypes="0" containsString="0" containsNumber="1" containsInteger="1" minValue="0" maxValue="0"/>
    </cacheField>
    <cacheField name="xyz" numFmtId="0">
      <sharedItems containsNonDate="0" containsString="0" containsBlank="1"/>
    </cacheField>
    <cacheField name="auto miss display                  " numFmtId="0">
      <sharedItems count="1">
        <s v="A"/>
      </sharedItems>
    </cacheField>
    <cacheField name="penalty display1                   " numFmtId="0">
      <sharedItems/>
    </cacheField>
    <cacheField name="technical display1                 " numFmtId="0">
      <sharedItems/>
    </cacheField>
    <cacheField name="Location                           " numFmtId="0">
      <sharedItems count="1">
        <s v="F"/>
      </sharedItems>
    </cacheField>
    <cacheField name="Front shoot                        " numFmtId="0">
      <sharedItems/>
    </cacheField>
    <cacheField name="Full shoot                         " numFmtId="0">
      <sharedItems containsSemiMixedTypes="0" containsString="0" containsNumber="1" containsInteger="1" minValue="0" maxValue="0"/>
    </cacheField>
    <cacheField name="Human load                         " numFmtId="0">
      <sharedItems containsSemiMixedTypes="0" containsString="0" containsNumber="1" containsInteger="1" minValue="0" maxValue="0" count="1">
        <n v="0"/>
      </sharedItems>
    </cacheField>
    <cacheField name="Floor load                         " numFmtId="0">
      <sharedItems containsSemiMixedTypes="0" containsString="0" containsNumber="1" containsInteger="1" minValue="0" maxValue="0"/>
    </cacheField>
    <cacheField name="tele pts display                   " numFmtId="0">
      <sharedItems count="1">
        <s v="F"/>
      </sharedItems>
    </cacheField>
    <cacheField name="tele miss display                  " numFmtId="0">
      <sharedItems containsSemiMixedTypes="0" containsString="0" containsNumber="1" containsInteger="1" minValue="0" maxValue="0"/>
    </cacheField>
    <cacheField name="penalty display2                   " numFmtId="0">
      <sharedItems containsSemiMixedTypes="0" containsString="0" containsNumber="1" containsInteger="1" minValue="0" maxValue="0"/>
    </cacheField>
    <cacheField name="technical display2                 " numFmtId="0">
      <sharedItems containsSemiMixedTypes="0" containsString="0" containsNumber="1" containsInteger="1" minValue="0" maxValue="0" count="1">
        <n v="0"/>
      </sharedItems>
    </cacheField>
    <cacheField name="driving ability                    " numFmtId="0">
      <sharedItems containsSemiMixedTypes="0" containsString="0" containsNumber="1" containsInteger="1" minValue="0" maxValue="0"/>
    </cacheField>
    <cacheField name="robot block                        " numFmtId="0">
      <sharedItems containsSemiMixedTypes="0" containsString="0" containsNumber="1" containsInteger="1" minValue="0" maxValue="0"/>
    </cacheField>
    <cacheField name="robot block time                   " numFmtId="0">
      <sharedItems containsSemiMixedTypes="0" containsString="0" containsNumber="1" containsInteger="1" minValue="0" maxValue="0"/>
    </cacheField>
    <cacheField name="passes made" numFmtId="0">
      <sharedItems containsSemiMixedTypes="0" containsString="0" containsNumber="1" containsInteger="1" minValue="0" maxValue="0"/>
    </cacheField>
    <cacheField name="passes missed" numFmtId="0">
      <sharedItems containsSemiMixedTypes="0" containsString="0" containsNumber="1" containsInteger="1" minValue="0" maxValue="0"/>
    </cacheField>
    <cacheField name="truss throw made" numFmtId="0">
      <sharedItems containsSemiMixedTypes="0" containsString="0" containsNumber="1" containsInteger="1" minValue="0" maxValue="0"/>
    </cacheField>
    <cacheField name="truss throw missed" numFmtId="0">
      <sharedItems containsSemiMixedTypes="0" containsString="0" containsNumber="1" containsInteger="1" minValue="0" maxValue="0"/>
    </cacheField>
    <cacheField name="truss throw missed2" numFmtId="0">
      <sharedItems containsSemiMixedTypes="0" containsString="0" containsNumber="1" containsInteger="1" minValue="0" maxValue="0"/>
    </cacheField>
    <cacheField name="truss catch missed" numFmtId="0">
      <sharedItems/>
    </cacheField>
    <cacheField name="pos inbounder                      " numFmtId="0">
      <sharedItems containsNonDate="0" containsString="0" containsBlank="1"/>
    </cacheField>
    <cacheField name="pos midcourt                       " numFmtId="0">
      <sharedItems containsNonDate="0" containsString="0" containsBlank="1"/>
    </cacheField>
    <cacheField name="pos shooter                        " numFmtId="0">
      <sharedItems containsNonDate="0" containsString="0" containsBlank="1"/>
    </cacheField>
    <cacheField name="dead ball" numFmtId="0">
      <sharedItems containsNonDate="0" containsString="0" containsBlank="1"/>
    </cacheField>
    <cacheField name="broke down" numFmtId="0">
      <sharedItems containsNonDate="0" containsString="0" containsBlank="1"/>
    </cacheField>
    <cacheField name="overall rating" numFmtId="0">
      <sharedItems containsNonDate="0" containsString="0" containsBlank="1" count="1">
        <m/>
      </sharedItems>
    </cacheField>
    <cacheField name="comments" numFmtId="0">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m/>
    <n v="1736"/>
    <n v="1"/>
    <x v="0"/>
    <x v="0"/>
    <n v="0"/>
    <n v="0"/>
    <n v="0"/>
    <m/>
    <x v="0"/>
    <s v="F"/>
    <s v="F"/>
    <x v="0"/>
    <s v="F"/>
    <n v="0"/>
    <x v="0"/>
    <n v="0"/>
    <x v="0"/>
    <n v="0"/>
    <n v="0"/>
    <x v="0"/>
    <n v="0"/>
    <n v="0"/>
    <n v="0"/>
    <n v="0"/>
    <n v="0"/>
    <n v="0"/>
    <n v="0"/>
    <n v="0"/>
    <s v="test"/>
    <m/>
    <m/>
    <m/>
    <m/>
    <m/>
    <x v="0"/>
    <m/>
  </r>
  <r>
    <m/>
    <n v="1737"/>
    <n v="1"/>
    <x v="0"/>
    <x v="0"/>
    <n v="0"/>
    <n v="0"/>
    <n v="0"/>
    <m/>
    <x v="0"/>
    <s v="F"/>
    <s v="T"/>
    <x v="0"/>
    <s v="F"/>
    <n v="0"/>
    <x v="0"/>
    <n v="0"/>
    <x v="0"/>
    <n v="0"/>
    <n v="0"/>
    <x v="0"/>
    <n v="0"/>
    <n v="0"/>
    <n v="0"/>
    <n v="0"/>
    <n v="0"/>
    <n v="0"/>
    <n v="0"/>
    <n v="0"/>
    <s v="test"/>
    <m/>
    <m/>
    <m/>
    <m/>
    <m/>
    <x v="0"/>
    <m/>
  </r>
  <r>
    <m/>
    <n v="1738"/>
    <n v="1"/>
    <x v="1"/>
    <x v="0"/>
    <n v="0"/>
    <n v="0"/>
    <n v="0"/>
    <m/>
    <x v="0"/>
    <s v="F"/>
    <s v="F"/>
    <x v="0"/>
    <s v="F"/>
    <n v="0"/>
    <x v="0"/>
    <n v="0"/>
    <x v="0"/>
    <n v="0"/>
    <n v="0"/>
    <x v="0"/>
    <n v="0"/>
    <n v="0"/>
    <n v="0"/>
    <n v="0"/>
    <n v="0"/>
    <n v="0"/>
    <n v="0"/>
    <n v="0"/>
    <s v="test"/>
    <m/>
    <m/>
    <m/>
    <m/>
    <m/>
    <x v="0"/>
    <m/>
  </r>
  <r>
    <m/>
    <n v="1739"/>
    <n v="1"/>
    <x v="0"/>
    <x v="0"/>
    <n v="0"/>
    <n v="0"/>
    <n v="0"/>
    <m/>
    <x v="0"/>
    <s v="F"/>
    <s v="F"/>
    <x v="0"/>
    <s v="F"/>
    <n v="0"/>
    <x v="0"/>
    <n v="0"/>
    <x v="0"/>
    <n v="0"/>
    <n v="0"/>
    <x v="0"/>
    <n v="0"/>
    <n v="0"/>
    <n v="0"/>
    <n v="0"/>
    <n v="0"/>
    <n v="0"/>
    <n v="0"/>
    <n v="0"/>
    <s v="test"/>
    <m/>
    <m/>
    <m/>
    <m/>
    <m/>
    <x v="0"/>
    <m/>
  </r>
  <r>
    <m/>
    <n v="1740"/>
    <n v="1"/>
    <x v="0"/>
    <x v="0"/>
    <n v="0"/>
    <n v="0"/>
    <n v="0"/>
    <m/>
    <x v="0"/>
    <s v="F"/>
    <s v="F"/>
    <x v="0"/>
    <s v="T"/>
    <n v="0"/>
    <x v="0"/>
    <n v="0"/>
    <x v="0"/>
    <n v="0"/>
    <n v="0"/>
    <x v="0"/>
    <n v="0"/>
    <n v="0"/>
    <n v="0"/>
    <n v="0"/>
    <n v="0"/>
    <n v="0"/>
    <n v="0"/>
    <n v="0"/>
    <s v="test"/>
    <m/>
    <m/>
    <m/>
    <m/>
    <m/>
    <x v="0"/>
    <m/>
  </r>
  <r>
    <m/>
    <n v="1741"/>
    <n v="1"/>
    <x v="2"/>
    <x v="0"/>
    <n v="0"/>
    <n v="0"/>
    <n v="0"/>
    <m/>
    <x v="0"/>
    <s v="F"/>
    <s v="F"/>
    <x v="0"/>
    <s v="F"/>
    <n v="0"/>
    <x v="0"/>
    <n v="0"/>
    <x v="0"/>
    <n v="0"/>
    <n v="0"/>
    <x v="0"/>
    <n v="0"/>
    <n v="0"/>
    <n v="0"/>
    <n v="0"/>
    <n v="0"/>
    <n v="0"/>
    <n v="0"/>
    <n v="0"/>
    <s v="test"/>
    <m/>
    <m/>
    <m/>
    <m/>
    <m/>
    <x v="0"/>
    <m/>
  </r>
  <r>
    <m/>
    <n v="1742"/>
    <n v="1"/>
    <x v="0"/>
    <x v="0"/>
    <n v="0"/>
    <n v="0"/>
    <n v="0"/>
    <m/>
    <x v="0"/>
    <s v="F"/>
    <s v="F"/>
    <x v="0"/>
    <s v="F"/>
    <n v="0"/>
    <x v="0"/>
    <n v="0"/>
    <x v="0"/>
    <n v="0"/>
    <n v="0"/>
    <x v="0"/>
    <n v="0"/>
    <n v="0"/>
    <n v="0"/>
    <n v="0"/>
    <n v="0"/>
    <n v="0"/>
    <n v="0"/>
    <n v="0"/>
    <s v="test"/>
    <m/>
    <m/>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17:B19" firstHeaderRow="1" firstDataRow="1" firstDataCol="1"/>
  <pivotFields count="37">
    <pivotField showAll="0"/>
    <pivotField showAll="0"/>
    <pivotField showAll="0"/>
    <pivotField showAll="0">
      <items count="4">
        <item h="1" x="1"/>
        <item x="2"/>
        <item h="1" x="0"/>
        <item t="default"/>
      </items>
    </pivotField>
    <pivotField axis="axisRow" showAll="0">
      <items count="2">
        <item x="0"/>
        <item t="default"/>
      </items>
    </pivotField>
    <pivotField showAll="0"/>
    <pivotField showAll="0"/>
    <pivotField showAll="0"/>
    <pivotField showAll="0" defaultSubtotal="0"/>
    <pivotField showAll="0"/>
    <pivotField showAll="0"/>
    <pivotField showAll="0"/>
    <pivotField showAll="0"/>
    <pivotField showAll="0"/>
    <pivotField showAll="0"/>
    <pivotField showAll="0">
      <items count="2">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2">
    <i>
      <x/>
    </i>
    <i t="grand">
      <x/>
    </i>
  </rowItems>
  <colItems count="1">
    <i/>
  </colItems>
  <dataFields count="1">
    <dataField name="Count of tele pts display                   " fld="1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atch_type1" sourceName="match type                         ">
  <pivotTables>
    <pivotTable tabId="5" name="PivotTable2"/>
  </pivotTables>
  <data>
    <tabular pivotCacheId="1">
      <items count="3">
        <i x="1"/>
        <i x="2"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rting_ball" sourceName="starting ball                      ">
  <pivotTables>
    <pivotTable tabId="5" name="PivotTable2"/>
  </pivotTables>
  <data>
    <tabular pivotCacheId="1">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uman_load" sourceName="Human load                         ">
  <pivotTables>
    <pivotTable tabId="5" name="PivotTable2"/>
  </pivotTables>
  <data>
    <tabular pivotCacheId="1">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atch type                          1" cache="Slicer_match_type1" caption="match type                         " rowHeight="241300"/>
  <slicer name="starting ball                      " cache="Slicer_starting_ball" caption="starting ball                      " rowHeight="241300"/>
  <slicer name="Human load                         " cache="Slicer_Human_load" caption="Human load                         "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8"/>
  <sheetViews>
    <sheetView workbookViewId="0">
      <selection activeCell="C11" sqref="C11"/>
    </sheetView>
  </sheetViews>
  <sheetFormatPr defaultRowHeight="23.25" x14ac:dyDescent="0.35"/>
  <cols>
    <col min="1" max="1" width="30.28515625" style="4" customWidth="1"/>
    <col min="2" max="2" width="12.28515625" style="4" customWidth="1"/>
    <col min="3" max="4" width="9.140625" style="44"/>
    <col min="5" max="5" width="13" style="44" customWidth="1"/>
    <col min="6" max="6" width="9.5703125" style="44" bestFit="1" customWidth="1"/>
    <col min="7" max="7" width="14.5703125" style="44" customWidth="1"/>
    <col min="8" max="8" width="9.140625" style="44"/>
    <col min="9" max="12" width="15.85546875" style="44" customWidth="1"/>
    <col min="13" max="16384" width="9.140625" style="4"/>
  </cols>
  <sheetData>
    <row r="1" spans="1:12" ht="24" thickBot="1" x14ac:dyDescent="0.4"/>
    <row r="2" spans="1:12" ht="24" thickBot="1" x14ac:dyDescent="0.4">
      <c r="E2" s="46" t="s">
        <v>221</v>
      </c>
      <c r="F2" s="47"/>
      <c r="G2" s="47"/>
      <c r="H2" s="48"/>
      <c r="I2" s="46" t="s">
        <v>226</v>
      </c>
      <c r="J2" s="47"/>
      <c r="K2" s="47"/>
      <c r="L2" s="48"/>
    </row>
    <row r="3" spans="1:12" s="5" customFormat="1" ht="70.5" thickBot="1" x14ac:dyDescent="0.4">
      <c r="A3" s="8" t="s">
        <v>227</v>
      </c>
      <c r="B3" s="8" t="s">
        <v>228</v>
      </c>
      <c r="C3" s="6" t="s">
        <v>21</v>
      </c>
      <c r="D3" s="6" t="s">
        <v>22</v>
      </c>
      <c r="E3" s="6" t="s">
        <v>223</v>
      </c>
      <c r="F3" s="6" t="s">
        <v>222</v>
      </c>
      <c r="G3" s="6" t="s">
        <v>224</v>
      </c>
      <c r="H3" s="6" t="s">
        <v>225</v>
      </c>
      <c r="I3" s="6" t="s">
        <v>223</v>
      </c>
      <c r="J3" s="6" t="s">
        <v>222</v>
      </c>
      <c r="K3" s="6" t="s">
        <v>224</v>
      </c>
      <c r="L3" s="6" t="s">
        <v>225</v>
      </c>
    </row>
    <row r="4" spans="1:12" x14ac:dyDescent="0.35">
      <c r="A4" s="7" t="s">
        <v>16</v>
      </c>
      <c r="B4" s="7">
        <f>153/8/3</f>
        <v>6.375</v>
      </c>
      <c r="C4" s="44">
        <v>4</v>
      </c>
      <c r="D4" s="44">
        <v>3</v>
      </c>
      <c r="E4" s="44">
        <v>2</v>
      </c>
      <c r="F4" s="44">
        <v>3</v>
      </c>
      <c r="G4" s="44">
        <v>5</v>
      </c>
      <c r="H4" s="44">
        <v>4</v>
      </c>
      <c r="I4" s="45"/>
      <c r="J4" s="45"/>
      <c r="K4" s="45"/>
      <c r="L4" s="45"/>
    </row>
    <row r="5" spans="1:12" x14ac:dyDescent="0.35">
      <c r="A5" s="7" t="s">
        <v>17</v>
      </c>
      <c r="B5" s="7">
        <f t="shared" ref="B5:B8" si="0">153/8/3</f>
        <v>6.375</v>
      </c>
      <c r="C5" s="44">
        <v>4</v>
      </c>
      <c r="D5" s="44">
        <v>2</v>
      </c>
      <c r="E5" s="45"/>
      <c r="F5" s="45"/>
      <c r="G5" s="45"/>
      <c r="H5" s="45"/>
      <c r="I5" s="44">
        <v>2</v>
      </c>
      <c r="J5" s="44">
        <v>3</v>
      </c>
      <c r="K5" s="44">
        <v>4</v>
      </c>
      <c r="L5" s="44">
        <v>5</v>
      </c>
    </row>
    <row r="6" spans="1:12" x14ac:dyDescent="0.35">
      <c r="A6" s="7" t="s">
        <v>18</v>
      </c>
      <c r="B6" s="7">
        <f t="shared" si="0"/>
        <v>6.375</v>
      </c>
      <c r="C6" s="44">
        <v>1</v>
      </c>
      <c r="D6" s="44">
        <v>4</v>
      </c>
      <c r="E6" s="45"/>
      <c r="F6" s="45"/>
      <c r="G6" s="45"/>
      <c r="H6" s="45"/>
      <c r="I6" s="45"/>
      <c r="J6" s="45"/>
      <c r="K6" s="45"/>
      <c r="L6" s="45"/>
    </row>
    <row r="7" spans="1:12" x14ac:dyDescent="0.35">
      <c r="A7" s="7" t="s">
        <v>19</v>
      </c>
      <c r="B7" s="7">
        <f t="shared" si="0"/>
        <v>6.375</v>
      </c>
      <c r="C7" s="44">
        <v>3</v>
      </c>
      <c r="D7" s="44">
        <v>3</v>
      </c>
      <c r="E7" s="45"/>
      <c r="F7" s="45"/>
      <c r="G7" s="45"/>
      <c r="H7" s="45"/>
      <c r="I7" s="45"/>
      <c r="J7" s="45"/>
      <c r="K7" s="45"/>
      <c r="L7" s="45"/>
    </row>
    <row r="8" spans="1:12" x14ac:dyDescent="0.35">
      <c r="A8" s="7" t="s">
        <v>20</v>
      </c>
      <c r="B8" s="7">
        <f t="shared" si="0"/>
        <v>6.375</v>
      </c>
      <c r="C8" s="44">
        <v>2</v>
      </c>
      <c r="D8" s="44">
        <v>3</v>
      </c>
      <c r="E8" s="45"/>
      <c r="F8" s="45"/>
      <c r="G8" s="45"/>
      <c r="H8" s="45"/>
      <c r="I8" s="45"/>
      <c r="J8" s="45"/>
      <c r="K8" s="45"/>
      <c r="L8" s="45"/>
    </row>
  </sheetData>
  <mergeCells count="2">
    <mergeCell ref="E2:H2"/>
    <mergeCell ref="I2:L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7:B19"/>
  <sheetViews>
    <sheetView workbookViewId="0">
      <selection activeCell="B18" sqref="B18"/>
    </sheetView>
  </sheetViews>
  <sheetFormatPr defaultRowHeight="15" x14ac:dyDescent="0.25"/>
  <cols>
    <col min="1" max="1" width="13.140625" bestFit="1" customWidth="1"/>
    <col min="2" max="2" width="31.28515625" bestFit="1" customWidth="1"/>
  </cols>
  <sheetData>
    <row r="17" spans="1:2" x14ac:dyDescent="0.25">
      <c r="A17" s="2" t="s">
        <v>3</v>
      </c>
      <c r="B17" t="s">
        <v>15</v>
      </c>
    </row>
    <row r="18" spans="1:2" x14ac:dyDescent="0.25">
      <c r="A18" s="3">
        <v>0</v>
      </c>
      <c r="B18" s="1">
        <v>1</v>
      </c>
    </row>
    <row r="19" spans="1:2" x14ac:dyDescent="0.25">
      <c r="A19" s="3" t="s">
        <v>4</v>
      </c>
      <c r="B19" s="1">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BC14"/>
  <sheetViews>
    <sheetView zoomScale="89" zoomScaleNormal="89" workbookViewId="0">
      <selection activeCell="BA7" sqref="BA7:BD13"/>
    </sheetView>
  </sheetViews>
  <sheetFormatPr defaultColWidth="10" defaultRowHeight="15" x14ac:dyDescent="0.25"/>
  <cols>
    <col min="1" max="1" width="5.28515625" style="9" bestFit="1" customWidth="1"/>
    <col min="2" max="2" width="12.42578125" style="9" bestFit="1" customWidth="1"/>
    <col min="3" max="3" width="12.7109375" style="9" bestFit="1" customWidth="1"/>
    <col min="4" max="4" width="9.85546875" style="9" bestFit="1" customWidth="1"/>
    <col min="5" max="5" width="13.42578125" style="9" bestFit="1" customWidth="1"/>
    <col min="6" max="6" width="10.7109375" style="10" bestFit="1" customWidth="1"/>
    <col min="7" max="7" width="10.28515625" style="10" bestFit="1" customWidth="1"/>
    <col min="8" max="8" width="10.7109375" style="11" bestFit="1" customWidth="1"/>
    <col min="9" max="9" width="13.28515625" style="11" bestFit="1" customWidth="1"/>
    <col min="10" max="10" width="13.85546875" style="11" bestFit="1" customWidth="1"/>
    <col min="11" max="11" width="12.42578125" style="11" bestFit="1" customWidth="1"/>
    <col min="12" max="12" width="10.5703125" style="11" bestFit="1" customWidth="1"/>
    <col min="13" max="13" width="16" style="11" bestFit="1" customWidth="1"/>
    <col min="14" max="14" width="14.140625" style="11" bestFit="1" customWidth="1"/>
    <col min="15" max="15" width="14.42578125" style="11" bestFit="1" customWidth="1"/>
    <col min="16" max="16" width="20" style="11" bestFit="1" customWidth="1"/>
    <col min="17" max="17" width="16.85546875" style="11" bestFit="1" customWidth="1"/>
    <col min="18" max="18" width="18" style="11" bestFit="1" customWidth="1"/>
    <col min="19" max="19" width="17.85546875" style="11" bestFit="1" customWidth="1"/>
    <col min="20" max="20" width="18.140625" style="11" bestFit="1" customWidth="1"/>
    <col min="21" max="21" width="17.42578125" style="11" bestFit="1" customWidth="1"/>
    <col min="22" max="22" width="17.7109375" style="11" bestFit="1" customWidth="1"/>
    <col min="23" max="23" width="13.28515625" style="11" bestFit="1" customWidth="1"/>
    <col min="24" max="24" width="20.5703125" style="11" bestFit="1" customWidth="1"/>
    <col min="25" max="25" width="12.85546875" style="11" bestFit="1" customWidth="1"/>
    <col min="26" max="26" width="19.5703125" style="11" bestFit="1" customWidth="1"/>
    <col min="27" max="27" width="14.140625" style="11" bestFit="1" customWidth="1"/>
    <col min="28" max="28" width="17.28515625" style="11" bestFit="1" customWidth="1"/>
    <col min="29" max="29" width="11.7109375" style="11" bestFit="1" customWidth="1"/>
    <col min="30" max="30" width="15.7109375" style="11" bestFit="1" customWidth="1"/>
    <col min="31" max="31" width="10.28515625" style="11" bestFit="1" customWidth="1"/>
    <col min="32" max="32" width="19.5703125" style="11" bestFit="1" customWidth="1"/>
    <col min="33" max="33" width="14.140625" style="11" bestFit="1" customWidth="1"/>
    <col min="34" max="34" width="21.7109375" style="11" bestFit="1" customWidth="1"/>
    <col min="35" max="35" width="16.140625" style="11" bestFit="1" customWidth="1"/>
    <col min="36" max="36" width="15.28515625" style="11" bestFit="1" customWidth="1"/>
    <col min="37" max="37" width="9.85546875" style="11" bestFit="1" customWidth="1"/>
    <col min="38" max="38" width="19.140625" style="11" bestFit="1" customWidth="1"/>
    <col min="39" max="39" width="13.7109375" style="11" bestFit="1" customWidth="1"/>
    <col min="40" max="40" width="16.7109375" style="11" bestFit="1" customWidth="1"/>
    <col min="41" max="41" width="11.28515625" style="11" bestFit="1" customWidth="1"/>
    <col min="42" max="42" width="17.7109375" style="11" bestFit="1" customWidth="1"/>
    <col min="43" max="43" width="12.140625" style="11" bestFit="1" customWidth="1"/>
    <col min="44" max="44" width="15.5703125" style="11" bestFit="1" customWidth="1"/>
    <col min="45" max="45" width="14.85546875" style="11" bestFit="1" customWidth="1"/>
    <col min="46" max="46" width="13.140625" style="11" bestFit="1" customWidth="1"/>
    <col min="47" max="47" width="12.28515625" style="11" bestFit="1" customWidth="1"/>
    <col min="48" max="48" width="11.7109375" style="11" bestFit="1" customWidth="1"/>
    <col min="49" max="49" width="11.28515625" style="11" customWidth="1"/>
    <col min="50" max="50" width="12.7109375" style="11" customWidth="1"/>
    <col min="51" max="51" width="11.7109375" style="11" bestFit="1" customWidth="1"/>
    <col min="52" max="52" width="77.85546875" style="11" customWidth="1"/>
    <col min="53" max="16384" width="10" style="11"/>
  </cols>
  <sheetData>
    <row r="2" spans="1:55" ht="75" x14ac:dyDescent="0.25">
      <c r="A2" s="9" t="s">
        <v>16</v>
      </c>
      <c r="B2" s="9" t="s">
        <v>17</v>
      </c>
      <c r="C2" s="9" t="s">
        <v>18</v>
      </c>
      <c r="D2" s="9" t="s">
        <v>19</v>
      </c>
      <c r="E2" s="9" t="s">
        <v>20</v>
      </c>
      <c r="F2" s="10" t="s">
        <v>21</v>
      </c>
      <c r="G2" s="10" t="s">
        <v>22</v>
      </c>
      <c r="H2" s="91" t="s">
        <v>295</v>
      </c>
      <c r="I2" s="91" t="s">
        <v>296</v>
      </c>
      <c r="J2" s="91" t="s">
        <v>297</v>
      </c>
      <c r="K2" s="91" t="s">
        <v>298</v>
      </c>
      <c r="L2" s="91" t="s">
        <v>257</v>
      </c>
      <c r="M2" s="91" t="s">
        <v>342</v>
      </c>
      <c r="N2" s="91" t="s">
        <v>299</v>
      </c>
      <c r="O2" s="91" t="s">
        <v>300</v>
      </c>
      <c r="P2" s="91" t="s">
        <v>343</v>
      </c>
      <c r="Q2" s="91" t="s">
        <v>301</v>
      </c>
      <c r="R2" s="91" t="s">
        <v>302</v>
      </c>
      <c r="S2" s="91" t="s">
        <v>303</v>
      </c>
      <c r="T2" s="91" t="s">
        <v>304</v>
      </c>
      <c r="U2" s="91" t="s">
        <v>305</v>
      </c>
      <c r="V2" s="91" t="s">
        <v>306</v>
      </c>
      <c r="W2" s="91" t="s">
        <v>307</v>
      </c>
      <c r="X2" s="91" t="s">
        <v>308</v>
      </c>
      <c r="Y2" s="91" t="s">
        <v>309</v>
      </c>
      <c r="Z2" s="91" t="s">
        <v>310</v>
      </c>
      <c r="AA2" s="91" t="s">
        <v>320</v>
      </c>
      <c r="AB2" s="91" t="s">
        <v>321</v>
      </c>
      <c r="AC2" s="91" t="s">
        <v>322</v>
      </c>
      <c r="AD2" s="91" t="s">
        <v>311</v>
      </c>
      <c r="AE2" s="91" t="s">
        <v>323</v>
      </c>
      <c r="AF2" s="91" t="s">
        <v>324</v>
      </c>
      <c r="AG2" s="91" t="s">
        <v>325</v>
      </c>
      <c r="AH2" s="91" t="s">
        <v>312</v>
      </c>
      <c r="AI2" s="91" t="s">
        <v>326</v>
      </c>
      <c r="AJ2" s="91" t="s">
        <v>313</v>
      </c>
      <c r="AK2" s="91" t="s">
        <v>327</v>
      </c>
      <c r="AL2" s="91" t="s">
        <v>328</v>
      </c>
      <c r="AM2" s="91" t="s">
        <v>329</v>
      </c>
      <c r="AN2" s="91" t="s">
        <v>330</v>
      </c>
      <c r="AO2" s="91" t="s">
        <v>331</v>
      </c>
      <c r="AP2" s="91" t="s">
        <v>332</v>
      </c>
      <c r="AQ2" s="91" t="s">
        <v>333</v>
      </c>
      <c r="AR2" s="91" t="s">
        <v>314</v>
      </c>
      <c r="AS2" s="91" t="s">
        <v>315</v>
      </c>
      <c r="AT2" s="91" t="s">
        <v>316</v>
      </c>
      <c r="AU2" s="91" t="s">
        <v>317</v>
      </c>
      <c r="AV2" s="91" t="s">
        <v>318</v>
      </c>
      <c r="AW2" s="91" t="s">
        <v>292</v>
      </c>
      <c r="AX2" s="91" t="s">
        <v>293</v>
      </c>
      <c r="AY2" s="91" t="s">
        <v>319</v>
      </c>
      <c r="AZ2" s="91" t="s">
        <v>28</v>
      </c>
    </row>
    <row r="3" spans="1:55" x14ac:dyDescent="0.25">
      <c r="B3" s="9">
        <f>VLOOKUP($B$2,Weightings!$A$4:$L$8,8,FALSE)*W3</f>
        <v>0</v>
      </c>
      <c r="H3" s="12" t="s">
        <v>23</v>
      </c>
      <c r="I3" s="11">
        <v>1736</v>
      </c>
      <c r="J3" s="11">
        <v>1</v>
      </c>
      <c r="K3" s="11" t="s">
        <v>0</v>
      </c>
      <c r="L3" s="11" t="s">
        <v>1</v>
      </c>
      <c r="M3" s="11" t="s">
        <v>1</v>
      </c>
      <c r="N3" s="11">
        <v>10</v>
      </c>
      <c r="O3" s="11">
        <v>0</v>
      </c>
      <c r="P3" s="11" t="s">
        <v>24</v>
      </c>
      <c r="Q3" s="11" t="s">
        <v>2</v>
      </c>
      <c r="R3" s="11" t="s">
        <v>1</v>
      </c>
      <c r="S3" s="11">
        <v>20</v>
      </c>
      <c r="T3" s="11">
        <v>5</v>
      </c>
      <c r="U3" s="11">
        <v>4</v>
      </c>
      <c r="V3" s="11">
        <v>0</v>
      </c>
      <c r="W3" s="11">
        <v>3</v>
      </c>
      <c r="X3" s="11">
        <v>0</v>
      </c>
      <c r="Y3" s="11">
        <v>0</v>
      </c>
      <c r="Z3" s="11">
        <v>0</v>
      </c>
      <c r="AA3" s="11" t="s">
        <v>1</v>
      </c>
      <c r="AB3" s="11">
        <v>0</v>
      </c>
      <c r="AC3" s="11" t="s">
        <v>1</v>
      </c>
      <c r="AD3" s="11">
        <v>2</v>
      </c>
      <c r="AE3" s="11" t="s">
        <v>1</v>
      </c>
      <c r="AF3" s="11">
        <v>0</v>
      </c>
      <c r="AG3" s="11" t="s">
        <v>1</v>
      </c>
      <c r="AH3" s="11">
        <v>0</v>
      </c>
      <c r="AI3" s="11" t="s">
        <v>1</v>
      </c>
      <c r="AJ3" s="11">
        <v>0</v>
      </c>
      <c r="AK3" s="11" t="s">
        <v>1</v>
      </c>
      <c r="AL3" s="11">
        <v>3</v>
      </c>
      <c r="AM3" s="11" t="s">
        <v>1</v>
      </c>
      <c r="AN3" s="11">
        <v>0</v>
      </c>
      <c r="AO3" s="11" t="s">
        <v>1</v>
      </c>
      <c r="AP3" s="11">
        <v>3</v>
      </c>
      <c r="AQ3" s="11" t="s">
        <v>1</v>
      </c>
      <c r="AR3" s="11" t="s">
        <v>1</v>
      </c>
      <c r="AS3" s="11" t="s">
        <v>1</v>
      </c>
      <c r="AT3" s="11" t="s">
        <v>2</v>
      </c>
      <c r="AU3" s="11" t="s">
        <v>2</v>
      </c>
      <c r="AV3" s="11">
        <v>18</v>
      </c>
      <c r="AW3" s="11">
        <v>0</v>
      </c>
      <c r="AX3" s="11">
        <v>0</v>
      </c>
      <c r="AY3" s="11">
        <v>3</v>
      </c>
      <c r="AZ3" s="11" t="s">
        <v>25</v>
      </c>
    </row>
    <row r="4" spans="1:55" x14ac:dyDescent="0.25">
      <c r="H4" s="58" t="s">
        <v>334</v>
      </c>
      <c r="I4" s="58">
        <v>1736</v>
      </c>
      <c r="J4" s="58">
        <v>1</v>
      </c>
      <c r="K4" s="58" t="s">
        <v>0</v>
      </c>
      <c r="L4" s="58" t="s">
        <v>2</v>
      </c>
      <c r="M4" s="58" t="s">
        <v>2</v>
      </c>
      <c r="N4" s="58" t="s">
        <v>2</v>
      </c>
      <c r="O4" s="58">
        <v>65</v>
      </c>
      <c r="P4" s="58">
        <v>40</v>
      </c>
      <c r="Q4" s="58">
        <v>0</v>
      </c>
      <c r="R4" s="58">
        <v>0</v>
      </c>
      <c r="S4" s="58" t="s">
        <v>1</v>
      </c>
      <c r="T4" s="58" t="s">
        <v>2</v>
      </c>
      <c r="U4" s="58" t="s">
        <v>1</v>
      </c>
      <c r="V4" s="58" t="s">
        <v>2</v>
      </c>
      <c r="W4" s="58" t="s">
        <v>1</v>
      </c>
      <c r="X4" s="58">
        <v>0</v>
      </c>
      <c r="Y4" s="58">
        <v>10</v>
      </c>
      <c r="Z4" s="58">
        <v>0</v>
      </c>
      <c r="AA4" s="58">
        <v>0</v>
      </c>
      <c r="AB4" s="58">
        <v>2</v>
      </c>
      <c r="AC4" s="58">
        <v>2</v>
      </c>
      <c r="AD4" s="58">
        <v>70</v>
      </c>
      <c r="AE4" s="58">
        <v>0</v>
      </c>
      <c r="AF4" s="58">
        <v>0</v>
      </c>
      <c r="AG4" s="58">
        <v>0</v>
      </c>
      <c r="AH4" s="58">
        <v>0</v>
      </c>
      <c r="AI4" s="58">
        <v>0</v>
      </c>
      <c r="AJ4" s="58">
        <v>0</v>
      </c>
      <c r="AK4" s="58" t="s">
        <v>1</v>
      </c>
      <c r="AL4" s="58" t="s">
        <v>1</v>
      </c>
      <c r="AM4" s="58" t="s">
        <v>1</v>
      </c>
      <c r="AN4" s="58" t="s">
        <v>1</v>
      </c>
      <c r="AO4" s="58" t="s">
        <v>1</v>
      </c>
      <c r="AP4" s="58">
        <v>3</v>
      </c>
      <c r="AQ4" s="58"/>
      <c r="AR4" s="58"/>
      <c r="AS4" s="58"/>
      <c r="AT4" s="58"/>
      <c r="AU4" s="58"/>
      <c r="AV4" s="58"/>
      <c r="AW4" s="58"/>
      <c r="AX4" s="58"/>
      <c r="AY4" s="58"/>
      <c r="AZ4" s="58"/>
      <c r="BA4" s="58"/>
      <c r="BB4" s="58"/>
      <c r="BC4" s="58"/>
    </row>
    <row r="5" spans="1:55" x14ac:dyDescent="0.25">
      <c r="H5" s="58" t="s">
        <v>335</v>
      </c>
      <c r="I5" s="58">
        <v>1234</v>
      </c>
      <c r="J5" s="58">
        <v>1</v>
      </c>
      <c r="K5" s="58" t="s">
        <v>0</v>
      </c>
      <c r="L5" s="58" t="s">
        <v>2</v>
      </c>
      <c r="M5" s="58" t="s">
        <v>2</v>
      </c>
      <c r="N5" s="58">
        <v>0</v>
      </c>
      <c r="O5" s="58">
        <v>10</v>
      </c>
      <c r="P5" s="58" t="s">
        <v>336</v>
      </c>
      <c r="Q5" s="58" t="s">
        <v>1</v>
      </c>
      <c r="R5" s="58" t="s">
        <v>1</v>
      </c>
      <c r="S5" s="58">
        <v>0</v>
      </c>
      <c r="T5" s="58">
        <v>0</v>
      </c>
      <c r="U5" s="58">
        <v>0</v>
      </c>
      <c r="V5" s="58">
        <v>0</v>
      </c>
      <c r="W5" s="58">
        <v>2</v>
      </c>
      <c r="X5" s="58">
        <v>1</v>
      </c>
      <c r="Y5" s="58">
        <v>18</v>
      </c>
      <c r="Z5" s="58">
        <v>10</v>
      </c>
      <c r="AA5" s="58">
        <v>1</v>
      </c>
      <c r="AB5" s="58" t="s">
        <v>1</v>
      </c>
      <c r="AC5" s="58">
        <v>0</v>
      </c>
      <c r="AD5" s="58" t="s">
        <v>1</v>
      </c>
      <c r="AE5" s="58">
        <v>1</v>
      </c>
      <c r="AF5" s="58" t="s">
        <v>1</v>
      </c>
      <c r="AG5" s="58">
        <v>2</v>
      </c>
      <c r="AH5" s="58" t="s">
        <v>1</v>
      </c>
      <c r="AI5" s="58">
        <v>0</v>
      </c>
      <c r="AJ5" s="58" t="s">
        <v>1</v>
      </c>
      <c r="AK5" s="58">
        <v>2</v>
      </c>
      <c r="AL5" s="58" t="s">
        <v>1</v>
      </c>
      <c r="AM5" s="58">
        <v>0</v>
      </c>
      <c r="AN5" s="58" t="s">
        <v>1</v>
      </c>
      <c r="AO5" s="58">
        <v>1</v>
      </c>
      <c r="AP5" s="58" t="s">
        <v>1</v>
      </c>
      <c r="AQ5" s="58">
        <v>0</v>
      </c>
      <c r="AR5" s="58" t="s">
        <v>1</v>
      </c>
      <c r="AS5" s="58" t="s">
        <v>2</v>
      </c>
      <c r="AT5" s="58" t="s">
        <v>2</v>
      </c>
      <c r="AU5" s="58" t="s">
        <v>2</v>
      </c>
      <c r="AV5" s="58" t="s">
        <v>1</v>
      </c>
      <c r="AW5" s="58">
        <v>0</v>
      </c>
      <c r="AX5" s="58">
        <v>0</v>
      </c>
      <c r="AY5" s="58">
        <v>2</v>
      </c>
      <c r="AZ5" s="58" t="s">
        <v>337</v>
      </c>
      <c r="BA5" s="58"/>
      <c r="BB5" s="58"/>
      <c r="BC5" s="58"/>
    </row>
    <row r="6" spans="1:55" x14ac:dyDescent="0.25">
      <c r="H6" s="58" t="s">
        <v>335</v>
      </c>
      <c r="I6" s="58">
        <v>3456</v>
      </c>
      <c r="J6" s="58">
        <v>2</v>
      </c>
      <c r="K6" s="58" t="s">
        <v>0</v>
      </c>
      <c r="L6" s="58" t="s">
        <v>1</v>
      </c>
      <c r="M6" s="58" t="s">
        <v>2</v>
      </c>
      <c r="N6" s="58">
        <v>10</v>
      </c>
      <c r="O6" s="58">
        <v>0</v>
      </c>
      <c r="P6" s="58" t="s">
        <v>338</v>
      </c>
      <c r="Q6" s="58" t="s">
        <v>1</v>
      </c>
      <c r="R6" s="58" t="s">
        <v>2</v>
      </c>
      <c r="S6" s="58">
        <v>0</v>
      </c>
      <c r="T6" s="58">
        <v>0</v>
      </c>
      <c r="U6" s="58">
        <v>4</v>
      </c>
      <c r="V6" s="58">
        <v>2</v>
      </c>
      <c r="W6" s="58">
        <v>1</v>
      </c>
      <c r="X6" s="58">
        <v>1</v>
      </c>
      <c r="Y6" s="58">
        <v>63</v>
      </c>
      <c r="Z6" s="58">
        <v>0</v>
      </c>
      <c r="AA6" s="58">
        <v>0</v>
      </c>
      <c r="AB6" s="58" t="s">
        <v>1</v>
      </c>
      <c r="AC6" s="58">
        <v>0</v>
      </c>
      <c r="AD6" s="58" t="s">
        <v>1</v>
      </c>
      <c r="AE6" s="58">
        <v>1</v>
      </c>
      <c r="AF6" s="58" t="s">
        <v>1</v>
      </c>
      <c r="AG6" s="58">
        <v>0</v>
      </c>
      <c r="AH6" s="58" t="s">
        <v>1</v>
      </c>
      <c r="AI6" s="58">
        <v>0</v>
      </c>
      <c r="AJ6" s="58" t="s">
        <v>1</v>
      </c>
      <c r="AK6" s="58">
        <v>0</v>
      </c>
      <c r="AL6" s="58" t="s">
        <v>1</v>
      </c>
      <c r="AM6" s="58">
        <v>0</v>
      </c>
      <c r="AN6" s="58" t="s">
        <v>1</v>
      </c>
      <c r="AO6" s="58">
        <v>0</v>
      </c>
      <c r="AP6" s="58" t="s">
        <v>1</v>
      </c>
      <c r="AQ6" s="58">
        <v>1</v>
      </c>
      <c r="AR6" s="58" t="s">
        <v>1</v>
      </c>
      <c r="AS6" s="58" t="s">
        <v>2</v>
      </c>
      <c r="AT6" s="58" t="s">
        <v>2</v>
      </c>
      <c r="AU6" s="58" t="s">
        <v>1</v>
      </c>
      <c r="AV6" s="58" t="s">
        <v>1</v>
      </c>
      <c r="AW6" s="58">
        <v>0</v>
      </c>
      <c r="AX6" s="58">
        <v>0</v>
      </c>
      <c r="AY6" s="58">
        <v>1</v>
      </c>
      <c r="AZ6" s="58" t="s">
        <v>339</v>
      </c>
      <c r="BA6" s="58"/>
      <c r="BB6" s="58"/>
      <c r="BC6" s="58"/>
    </row>
    <row r="7" spans="1:55" x14ac:dyDescent="0.25">
      <c r="H7" s="58" t="s">
        <v>335</v>
      </c>
      <c r="I7" s="58">
        <v>5678</v>
      </c>
      <c r="J7" s="58">
        <v>3</v>
      </c>
      <c r="K7" s="58" t="s">
        <v>0</v>
      </c>
      <c r="L7" s="58" t="s">
        <v>2</v>
      </c>
      <c r="M7" s="58" t="s">
        <v>1</v>
      </c>
      <c r="N7" s="58">
        <v>0</v>
      </c>
      <c r="O7" s="58">
        <v>0</v>
      </c>
      <c r="P7" s="58" t="s">
        <v>340</v>
      </c>
      <c r="Q7" s="58" t="s">
        <v>1</v>
      </c>
      <c r="R7" s="58" t="s">
        <v>2</v>
      </c>
      <c r="S7" s="58">
        <v>30</v>
      </c>
      <c r="T7" s="58">
        <v>0</v>
      </c>
      <c r="U7" s="58">
        <v>0</v>
      </c>
      <c r="V7" s="58">
        <v>0</v>
      </c>
      <c r="W7" s="58">
        <v>2</v>
      </c>
      <c r="X7" s="58">
        <v>2</v>
      </c>
      <c r="Y7" s="58">
        <v>52</v>
      </c>
      <c r="Z7" s="58">
        <v>7</v>
      </c>
      <c r="AA7" s="58">
        <v>0</v>
      </c>
      <c r="AB7" s="58" t="s">
        <v>1</v>
      </c>
      <c r="AC7" s="58">
        <v>0</v>
      </c>
      <c r="AD7" s="58" t="s">
        <v>1</v>
      </c>
      <c r="AE7" s="58">
        <v>0</v>
      </c>
      <c r="AF7" s="58" t="s">
        <v>1</v>
      </c>
      <c r="AG7" s="58">
        <v>2</v>
      </c>
      <c r="AH7" s="58" t="s">
        <v>1</v>
      </c>
      <c r="AI7" s="58">
        <v>2</v>
      </c>
      <c r="AJ7" s="58" t="s">
        <v>1</v>
      </c>
      <c r="AK7" s="58">
        <v>2</v>
      </c>
      <c r="AL7" s="58" t="s">
        <v>1</v>
      </c>
      <c r="AM7" s="58">
        <v>0</v>
      </c>
      <c r="AN7" s="58" t="s">
        <v>1</v>
      </c>
      <c r="AO7" s="58">
        <v>0</v>
      </c>
      <c r="AP7" s="58" t="s">
        <v>1</v>
      </c>
      <c r="AQ7" s="58">
        <v>0</v>
      </c>
      <c r="AR7" s="58" t="s">
        <v>1</v>
      </c>
      <c r="AS7" s="58" t="s">
        <v>1</v>
      </c>
      <c r="AT7" s="58" t="s">
        <v>2</v>
      </c>
      <c r="AU7" s="58" t="s">
        <v>1</v>
      </c>
      <c r="AV7" s="58" t="s">
        <v>2</v>
      </c>
      <c r="AW7" s="58">
        <v>0</v>
      </c>
      <c r="AX7" s="58">
        <v>0</v>
      </c>
      <c r="AY7" s="58">
        <v>3</v>
      </c>
      <c r="AZ7" s="58" t="s">
        <v>341</v>
      </c>
      <c r="BA7" s="58"/>
      <c r="BB7" s="58"/>
      <c r="BC7" s="58"/>
    </row>
    <row r="8" spans="1:55" x14ac:dyDescent="0.25">
      <c r="H8" s="58" t="s">
        <v>334</v>
      </c>
      <c r="I8" s="58">
        <v>1736</v>
      </c>
      <c r="J8" s="58">
        <v>1</v>
      </c>
      <c r="K8" s="58" t="s">
        <v>0</v>
      </c>
      <c r="L8" s="58" t="s">
        <v>2</v>
      </c>
      <c r="M8" s="58" t="s">
        <v>2</v>
      </c>
      <c r="N8" s="58" t="s">
        <v>2</v>
      </c>
      <c r="O8" s="58">
        <v>65</v>
      </c>
      <c r="P8" s="58">
        <v>40</v>
      </c>
      <c r="Q8" s="58">
        <v>0</v>
      </c>
      <c r="R8" s="58">
        <v>0</v>
      </c>
      <c r="S8" s="58" t="s">
        <v>1</v>
      </c>
      <c r="T8" s="58" t="s">
        <v>2</v>
      </c>
      <c r="U8" s="58" t="s">
        <v>1</v>
      </c>
      <c r="V8" s="58" t="s">
        <v>2</v>
      </c>
      <c r="W8" s="58" t="s">
        <v>1</v>
      </c>
      <c r="X8" s="58">
        <v>0</v>
      </c>
      <c r="Y8" s="58">
        <v>10</v>
      </c>
      <c r="Z8" s="58">
        <v>0</v>
      </c>
      <c r="AA8" s="58">
        <v>0</v>
      </c>
      <c r="AB8" s="58">
        <v>2</v>
      </c>
      <c r="AC8" s="58">
        <v>2</v>
      </c>
      <c r="AD8" s="58">
        <v>70</v>
      </c>
      <c r="AE8" s="58">
        <v>0</v>
      </c>
      <c r="AF8" s="58">
        <v>0</v>
      </c>
      <c r="AG8" s="58">
        <v>0</v>
      </c>
      <c r="AH8" s="58">
        <v>0</v>
      </c>
      <c r="AI8" s="58">
        <v>0</v>
      </c>
      <c r="AJ8" s="58">
        <v>0</v>
      </c>
      <c r="AK8" s="58" t="s">
        <v>1</v>
      </c>
      <c r="AL8" s="58" t="s">
        <v>1</v>
      </c>
      <c r="AM8" s="58" t="s">
        <v>1</v>
      </c>
      <c r="AN8" s="58" t="s">
        <v>1</v>
      </c>
      <c r="AO8" s="58" t="s">
        <v>1</v>
      </c>
      <c r="AP8" s="58">
        <v>3</v>
      </c>
      <c r="AQ8" s="58"/>
      <c r="AR8" s="58"/>
      <c r="AS8" s="58"/>
      <c r="AT8" s="58"/>
      <c r="AU8" s="58"/>
      <c r="AV8" s="58"/>
      <c r="AW8" s="58"/>
      <c r="AX8" s="58"/>
      <c r="AY8" s="58"/>
      <c r="AZ8" s="58"/>
      <c r="BA8" s="58"/>
      <c r="BB8" s="58"/>
      <c r="BC8" s="58"/>
    </row>
    <row r="9" spans="1:55" x14ac:dyDescent="0.25">
      <c r="H9" s="58" t="s">
        <v>335</v>
      </c>
      <c r="I9" s="58">
        <v>1234</v>
      </c>
      <c r="J9" s="58">
        <v>1</v>
      </c>
      <c r="K9" s="58" t="s">
        <v>0</v>
      </c>
      <c r="L9" s="58" t="s">
        <v>2</v>
      </c>
      <c r="M9" s="58" t="s">
        <v>2</v>
      </c>
      <c r="N9" s="58">
        <v>0</v>
      </c>
      <c r="O9" s="58">
        <v>10</v>
      </c>
      <c r="P9" s="58" t="s">
        <v>336</v>
      </c>
      <c r="Q9" s="58" t="s">
        <v>1</v>
      </c>
      <c r="R9" s="58" t="s">
        <v>1</v>
      </c>
      <c r="S9" s="58">
        <v>0</v>
      </c>
      <c r="T9" s="58">
        <v>0</v>
      </c>
      <c r="U9" s="58">
        <v>0</v>
      </c>
      <c r="V9" s="58">
        <v>0</v>
      </c>
      <c r="W9" s="58">
        <v>2</v>
      </c>
      <c r="X9" s="58">
        <v>1</v>
      </c>
      <c r="Y9" s="58">
        <v>18</v>
      </c>
      <c r="Z9" s="58">
        <v>10</v>
      </c>
      <c r="AA9" s="58">
        <v>1</v>
      </c>
      <c r="AB9" s="58" t="s">
        <v>1</v>
      </c>
      <c r="AC9" s="58">
        <v>0</v>
      </c>
      <c r="AD9" s="58" t="s">
        <v>1</v>
      </c>
      <c r="AE9" s="58">
        <v>1</v>
      </c>
      <c r="AF9" s="58" t="s">
        <v>1</v>
      </c>
      <c r="AG9" s="58">
        <v>2</v>
      </c>
      <c r="AH9" s="58" t="s">
        <v>1</v>
      </c>
      <c r="AI9" s="58">
        <v>0</v>
      </c>
      <c r="AJ9" s="58" t="s">
        <v>1</v>
      </c>
      <c r="AK9" s="58">
        <v>2</v>
      </c>
      <c r="AL9" s="58" t="s">
        <v>1</v>
      </c>
      <c r="AM9" s="58">
        <v>0</v>
      </c>
      <c r="AN9" s="58" t="s">
        <v>1</v>
      </c>
      <c r="AO9" s="58">
        <v>1</v>
      </c>
      <c r="AP9" s="58" t="s">
        <v>1</v>
      </c>
      <c r="AQ9" s="58">
        <v>0</v>
      </c>
      <c r="AR9" s="58" t="s">
        <v>1</v>
      </c>
      <c r="AS9" s="58" t="s">
        <v>2</v>
      </c>
      <c r="AT9" s="58" t="s">
        <v>2</v>
      </c>
      <c r="AU9" s="58" t="s">
        <v>2</v>
      </c>
      <c r="AV9" s="58" t="s">
        <v>1</v>
      </c>
      <c r="AW9" s="58">
        <v>0</v>
      </c>
      <c r="AX9" s="58">
        <v>0</v>
      </c>
      <c r="AY9" s="58">
        <v>2</v>
      </c>
      <c r="AZ9" s="58" t="s">
        <v>337</v>
      </c>
      <c r="BA9" s="58"/>
      <c r="BB9" s="58"/>
      <c r="BC9" s="58"/>
    </row>
    <row r="10" spans="1:55" x14ac:dyDescent="0.25">
      <c r="H10" s="58" t="s">
        <v>335</v>
      </c>
      <c r="I10" s="58">
        <v>3456</v>
      </c>
      <c r="J10" s="58">
        <v>2</v>
      </c>
      <c r="K10" s="58" t="s">
        <v>0</v>
      </c>
      <c r="L10" s="58" t="s">
        <v>1</v>
      </c>
      <c r="M10" s="58" t="s">
        <v>2</v>
      </c>
      <c r="N10" s="58">
        <v>10</v>
      </c>
      <c r="O10" s="58">
        <v>0</v>
      </c>
      <c r="P10" s="58" t="s">
        <v>338</v>
      </c>
      <c r="Q10" s="58" t="s">
        <v>1</v>
      </c>
      <c r="R10" s="58" t="s">
        <v>2</v>
      </c>
      <c r="S10" s="58">
        <v>0</v>
      </c>
      <c r="T10" s="58">
        <v>0</v>
      </c>
      <c r="U10" s="58">
        <v>4</v>
      </c>
      <c r="V10" s="58">
        <v>2</v>
      </c>
      <c r="W10" s="58">
        <v>1</v>
      </c>
      <c r="X10" s="58">
        <v>1</v>
      </c>
      <c r="Y10" s="58">
        <v>63</v>
      </c>
      <c r="Z10" s="58">
        <v>0</v>
      </c>
      <c r="AA10" s="58">
        <v>0</v>
      </c>
      <c r="AB10" s="58" t="s">
        <v>1</v>
      </c>
      <c r="AC10" s="58">
        <v>0</v>
      </c>
      <c r="AD10" s="58" t="s">
        <v>1</v>
      </c>
      <c r="AE10" s="58">
        <v>1</v>
      </c>
      <c r="AF10" s="58" t="s">
        <v>1</v>
      </c>
      <c r="AG10" s="58">
        <v>0</v>
      </c>
      <c r="AH10" s="58" t="s">
        <v>1</v>
      </c>
      <c r="AI10" s="58">
        <v>0</v>
      </c>
      <c r="AJ10" s="58" t="s">
        <v>1</v>
      </c>
      <c r="AK10" s="58">
        <v>0</v>
      </c>
      <c r="AL10" s="58" t="s">
        <v>1</v>
      </c>
      <c r="AM10" s="58">
        <v>0</v>
      </c>
      <c r="AN10" s="58" t="s">
        <v>1</v>
      </c>
      <c r="AO10" s="58">
        <v>0</v>
      </c>
      <c r="AP10" s="58" t="s">
        <v>1</v>
      </c>
      <c r="AQ10" s="58">
        <v>1</v>
      </c>
      <c r="AR10" s="58" t="s">
        <v>1</v>
      </c>
      <c r="AS10" s="58" t="s">
        <v>2</v>
      </c>
      <c r="AT10" s="58" t="s">
        <v>2</v>
      </c>
      <c r="AU10" s="58" t="s">
        <v>1</v>
      </c>
      <c r="AV10" s="58" t="s">
        <v>1</v>
      </c>
      <c r="AW10" s="58">
        <v>0</v>
      </c>
      <c r="AX10" s="58">
        <v>0</v>
      </c>
      <c r="AY10" s="58">
        <v>1</v>
      </c>
      <c r="AZ10" s="58" t="s">
        <v>339</v>
      </c>
      <c r="BA10" s="58"/>
      <c r="BB10" s="58"/>
      <c r="BC10" s="58"/>
    </row>
    <row r="11" spans="1:55" x14ac:dyDescent="0.25">
      <c r="H11" s="58" t="s">
        <v>335</v>
      </c>
      <c r="I11" s="58">
        <v>5678</v>
      </c>
      <c r="J11" s="58">
        <v>3</v>
      </c>
      <c r="K11" s="58" t="s">
        <v>0</v>
      </c>
      <c r="L11" s="58" t="s">
        <v>2</v>
      </c>
      <c r="M11" s="58" t="s">
        <v>1</v>
      </c>
      <c r="N11" s="58">
        <v>0</v>
      </c>
      <c r="O11" s="58">
        <v>0</v>
      </c>
      <c r="P11" s="58" t="s">
        <v>340</v>
      </c>
      <c r="Q11" s="58" t="s">
        <v>1</v>
      </c>
      <c r="R11" s="58" t="s">
        <v>2</v>
      </c>
      <c r="S11" s="58">
        <v>30</v>
      </c>
      <c r="T11" s="58">
        <v>0</v>
      </c>
      <c r="U11" s="58">
        <v>0</v>
      </c>
      <c r="V11" s="58">
        <v>0</v>
      </c>
      <c r="W11" s="58">
        <v>2</v>
      </c>
      <c r="X11" s="58">
        <v>2</v>
      </c>
      <c r="Y11" s="58">
        <v>52</v>
      </c>
      <c r="Z11" s="58">
        <v>7</v>
      </c>
      <c r="AA11" s="58">
        <v>0</v>
      </c>
      <c r="AB11" s="58" t="s">
        <v>1</v>
      </c>
      <c r="AC11" s="58">
        <v>0</v>
      </c>
      <c r="AD11" s="58" t="s">
        <v>1</v>
      </c>
      <c r="AE11" s="58">
        <v>0</v>
      </c>
      <c r="AF11" s="58" t="s">
        <v>1</v>
      </c>
      <c r="AG11" s="58">
        <v>2</v>
      </c>
      <c r="AH11" s="58" t="s">
        <v>1</v>
      </c>
      <c r="AI11" s="58">
        <v>2</v>
      </c>
      <c r="AJ11" s="58" t="s">
        <v>1</v>
      </c>
      <c r="AK11" s="58">
        <v>2</v>
      </c>
      <c r="AL11" s="58" t="s">
        <v>1</v>
      </c>
      <c r="AM11" s="58">
        <v>0</v>
      </c>
      <c r="AN11" s="58" t="s">
        <v>1</v>
      </c>
      <c r="AO11" s="58">
        <v>0</v>
      </c>
      <c r="AP11" s="58" t="s">
        <v>1</v>
      </c>
      <c r="AQ11" s="58">
        <v>0</v>
      </c>
      <c r="AR11" s="58" t="s">
        <v>1</v>
      </c>
      <c r="AS11" s="58" t="s">
        <v>1</v>
      </c>
      <c r="AT11" s="58" t="s">
        <v>2</v>
      </c>
      <c r="AU11" s="58" t="s">
        <v>1</v>
      </c>
      <c r="AV11" s="58" t="s">
        <v>2</v>
      </c>
      <c r="AW11" s="58">
        <v>0</v>
      </c>
      <c r="AX11" s="58">
        <v>0</v>
      </c>
      <c r="AY11" s="58">
        <v>3</v>
      </c>
      <c r="AZ11" s="58" t="s">
        <v>341</v>
      </c>
      <c r="BA11" s="58"/>
      <c r="BB11" s="58"/>
      <c r="BC11" s="58"/>
    </row>
    <row r="12" spans="1:55" x14ac:dyDescent="0.25">
      <c r="H12" s="58" t="s">
        <v>335</v>
      </c>
      <c r="I12" s="58">
        <v>7654</v>
      </c>
      <c r="J12" s="58">
        <v>4</v>
      </c>
      <c r="K12" s="58" t="s">
        <v>0</v>
      </c>
      <c r="L12" s="58" t="s">
        <v>1</v>
      </c>
      <c r="M12" s="58" t="s">
        <v>2</v>
      </c>
      <c r="N12" s="58">
        <v>0</v>
      </c>
      <c r="O12" s="58">
        <v>0</v>
      </c>
      <c r="P12" s="58" t="s">
        <v>340</v>
      </c>
      <c r="Q12" s="58" t="s">
        <v>1</v>
      </c>
      <c r="R12" s="58" t="s">
        <v>1</v>
      </c>
      <c r="S12" s="58">
        <v>0</v>
      </c>
      <c r="T12" s="58">
        <v>0</v>
      </c>
      <c r="U12" s="58">
        <v>0</v>
      </c>
      <c r="V12" s="58">
        <v>0</v>
      </c>
      <c r="W12" s="58">
        <v>1</v>
      </c>
      <c r="X12" s="58">
        <v>2</v>
      </c>
      <c r="Y12" s="58">
        <v>84</v>
      </c>
      <c r="Z12" s="58">
        <v>0</v>
      </c>
      <c r="AA12" s="58">
        <v>0</v>
      </c>
      <c r="AB12" s="58" t="s">
        <v>1</v>
      </c>
      <c r="AC12" s="58">
        <v>0</v>
      </c>
      <c r="AD12" s="58" t="s">
        <v>1</v>
      </c>
      <c r="AE12" s="58">
        <v>0</v>
      </c>
      <c r="AF12" s="58" t="s">
        <v>1</v>
      </c>
      <c r="AG12" s="58">
        <v>1</v>
      </c>
      <c r="AH12" s="58" t="s">
        <v>1</v>
      </c>
      <c r="AI12" s="58">
        <v>1</v>
      </c>
      <c r="AJ12" s="58" t="s">
        <v>1</v>
      </c>
      <c r="AK12" s="58">
        <v>0</v>
      </c>
      <c r="AL12" s="58" t="s">
        <v>2</v>
      </c>
      <c r="AM12" s="58">
        <v>0</v>
      </c>
      <c r="AN12" s="58" t="s">
        <v>1</v>
      </c>
      <c r="AO12" s="58">
        <v>1</v>
      </c>
      <c r="AP12" s="58" t="s">
        <v>1</v>
      </c>
      <c r="AQ12" s="58">
        <v>0</v>
      </c>
      <c r="AR12" s="58" t="s">
        <v>1</v>
      </c>
      <c r="AS12" s="58" t="s">
        <v>2</v>
      </c>
      <c r="AT12" s="58" t="s">
        <v>2</v>
      </c>
      <c r="AU12" s="58" t="s">
        <v>1</v>
      </c>
      <c r="AV12" s="58" t="s">
        <v>1</v>
      </c>
      <c r="AW12" s="58">
        <v>0</v>
      </c>
      <c r="AX12" s="58">
        <v>0</v>
      </c>
      <c r="AY12" s="58">
        <v>1</v>
      </c>
      <c r="AZ12" s="58" t="s">
        <v>344</v>
      </c>
      <c r="BA12" s="58"/>
      <c r="BB12" s="58"/>
      <c r="BC12" s="58"/>
    </row>
    <row r="13" spans="1:55" x14ac:dyDescent="0.25">
      <c r="H13" s="58" t="s">
        <v>335</v>
      </c>
      <c r="I13" s="58">
        <v>9876</v>
      </c>
      <c r="J13" s="58">
        <v>5</v>
      </c>
      <c r="K13" s="58" t="s">
        <v>0</v>
      </c>
      <c r="L13" s="58" t="s">
        <v>1</v>
      </c>
      <c r="M13" s="58" t="s">
        <v>2</v>
      </c>
      <c r="N13" s="58">
        <v>10</v>
      </c>
      <c r="O13" s="58">
        <v>0</v>
      </c>
      <c r="P13" s="58" t="s">
        <v>345</v>
      </c>
      <c r="Q13" s="58" t="s">
        <v>1</v>
      </c>
      <c r="R13" s="58" t="s">
        <v>1</v>
      </c>
      <c r="S13" s="58">
        <v>15</v>
      </c>
      <c r="T13" s="58">
        <v>5</v>
      </c>
      <c r="U13" s="58">
        <v>0</v>
      </c>
      <c r="V13" s="58">
        <v>0</v>
      </c>
      <c r="W13" s="58">
        <v>2</v>
      </c>
      <c r="X13" s="58">
        <v>1</v>
      </c>
      <c r="Y13" s="58">
        <v>14</v>
      </c>
      <c r="Z13" s="58">
        <v>6</v>
      </c>
      <c r="AA13" s="58">
        <v>2</v>
      </c>
      <c r="AB13" s="58" t="s">
        <v>1</v>
      </c>
      <c r="AC13" s="58">
        <v>2</v>
      </c>
      <c r="AD13" s="58" t="s">
        <v>1</v>
      </c>
      <c r="AE13" s="58">
        <v>2</v>
      </c>
      <c r="AF13" s="58" t="s">
        <v>1</v>
      </c>
      <c r="AG13" s="58">
        <v>0</v>
      </c>
      <c r="AH13" s="58" t="s">
        <v>1</v>
      </c>
      <c r="AI13" s="58">
        <v>0</v>
      </c>
      <c r="AJ13" s="58" t="s">
        <v>1</v>
      </c>
      <c r="AK13" s="58">
        <v>2</v>
      </c>
      <c r="AL13" s="58" t="s">
        <v>1</v>
      </c>
      <c r="AM13" s="58">
        <v>0</v>
      </c>
      <c r="AN13" s="58" t="s">
        <v>1</v>
      </c>
      <c r="AO13" s="58">
        <v>0</v>
      </c>
      <c r="AP13" s="58" t="s">
        <v>1</v>
      </c>
      <c r="AQ13" s="58">
        <v>0</v>
      </c>
      <c r="AR13" s="58" t="s">
        <v>1</v>
      </c>
      <c r="AS13" s="58" t="s">
        <v>1</v>
      </c>
      <c r="AT13" s="58" t="s">
        <v>2</v>
      </c>
      <c r="AU13" s="58" t="s">
        <v>1</v>
      </c>
      <c r="AV13" s="58" t="s">
        <v>2</v>
      </c>
      <c r="AW13" s="58">
        <v>0</v>
      </c>
      <c r="AX13" s="58">
        <v>0</v>
      </c>
      <c r="AY13" s="58">
        <v>3</v>
      </c>
      <c r="AZ13" s="58" t="s">
        <v>346</v>
      </c>
      <c r="BA13" s="58"/>
      <c r="BB13" s="58"/>
      <c r="BC13" s="58"/>
    </row>
    <row r="14" spans="1:55" x14ac:dyDescent="0.25">
      <c r="H14" s="58" t="s">
        <v>335</v>
      </c>
      <c r="I14" s="58">
        <v>6767</v>
      </c>
      <c r="J14" s="58">
        <v>6</v>
      </c>
      <c r="K14" s="58" t="s">
        <v>0</v>
      </c>
      <c r="L14" s="58" t="s">
        <v>1</v>
      </c>
      <c r="M14" s="58" t="s">
        <v>1</v>
      </c>
      <c r="N14" s="58">
        <v>10</v>
      </c>
      <c r="O14" s="58">
        <v>0</v>
      </c>
      <c r="P14" s="58" t="s">
        <v>347</v>
      </c>
      <c r="Q14" s="58" t="s">
        <v>1</v>
      </c>
      <c r="R14" s="58" t="s">
        <v>1</v>
      </c>
      <c r="S14" s="58">
        <v>10</v>
      </c>
      <c r="T14" s="58">
        <v>0</v>
      </c>
      <c r="U14" s="58">
        <v>0</v>
      </c>
      <c r="V14" s="58">
        <v>0</v>
      </c>
      <c r="W14" s="58">
        <v>2</v>
      </c>
      <c r="X14" s="58">
        <v>2</v>
      </c>
      <c r="Y14" s="58">
        <v>40</v>
      </c>
      <c r="Z14" s="58">
        <v>0</v>
      </c>
      <c r="AA14" s="58">
        <v>0</v>
      </c>
      <c r="AB14" s="58" t="s">
        <v>1</v>
      </c>
      <c r="AC14" s="58">
        <v>0</v>
      </c>
      <c r="AD14" s="58" t="s">
        <v>1</v>
      </c>
      <c r="AE14" s="58">
        <v>0</v>
      </c>
      <c r="AF14" s="58" t="s">
        <v>1</v>
      </c>
      <c r="AG14" s="58">
        <v>2</v>
      </c>
      <c r="AH14" s="58" t="s">
        <v>1</v>
      </c>
      <c r="AI14" s="58">
        <v>0</v>
      </c>
      <c r="AJ14" s="58" t="s">
        <v>1</v>
      </c>
      <c r="AK14" s="58">
        <v>0</v>
      </c>
      <c r="AL14" s="58" t="s">
        <v>1</v>
      </c>
      <c r="AM14" s="58">
        <v>0</v>
      </c>
      <c r="AN14" s="58" t="s">
        <v>1</v>
      </c>
      <c r="AO14" s="58">
        <v>2</v>
      </c>
      <c r="AP14" s="58" t="s">
        <v>1</v>
      </c>
      <c r="AQ14" s="58">
        <v>1</v>
      </c>
      <c r="AR14" s="58" t="s">
        <v>1</v>
      </c>
      <c r="AS14" s="58" t="s">
        <v>1</v>
      </c>
      <c r="AT14" s="58" t="s">
        <v>2</v>
      </c>
      <c r="AU14" s="58" t="s">
        <v>1</v>
      </c>
      <c r="AV14" s="58" t="s">
        <v>1</v>
      </c>
      <c r="AW14" s="58">
        <v>0</v>
      </c>
      <c r="AX14" s="58">
        <v>0</v>
      </c>
      <c r="AY14" s="58">
        <v>2</v>
      </c>
      <c r="AZ14" s="58" t="s">
        <v>348</v>
      </c>
      <c r="BA14" s="58"/>
      <c r="BB14" s="58"/>
      <c r="BC14" s="5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Match_Scout_paste">
                <anchor moveWithCells="1" sizeWithCells="1">
                  <from>
                    <xdr:col>7</xdr:col>
                    <xdr:colOff>114300</xdr:colOff>
                    <xdr:row>0</xdr:row>
                    <xdr:rowOff>38100</xdr:rowOff>
                  </from>
                  <to>
                    <xdr:col>8</xdr:col>
                    <xdr:colOff>133350</xdr:colOff>
                    <xdr:row>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14"/>
  <sheetViews>
    <sheetView tabSelected="1" zoomScale="80" zoomScaleNormal="80" workbookViewId="0">
      <pane xSplit="1" ySplit="3" topLeftCell="B4" activePane="bottomRight" state="frozen"/>
      <selection pane="topRight" activeCell="B1" sqref="B1"/>
      <selection pane="bottomLeft" activeCell="A4" sqref="A4"/>
      <selection pane="bottomRight" activeCell="C5" sqref="C5"/>
    </sheetView>
  </sheetViews>
  <sheetFormatPr defaultColWidth="9.140625" defaultRowHeight="15.95" customHeight="1" x14ac:dyDescent="0.25"/>
  <cols>
    <col min="1" max="1" width="17.5703125" style="15" bestFit="1" customWidth="1"/>
    <col min="2" max="2" width="25.7109375" style="14" customWidth="1"/>
    <col min="3" max="3" width="31.42578125" style="15" bestFit="1" customWidth="1"/>
    <col min="4" max="4" width="9.140625" style="16"/>
    <col min="5" max="5" width="9.140625" style="15"/>
    <col min="6" max="6" width="20.28515625" style="15" customWidth="1"/>
    <col min="7" max="9" width="9.140625" style="15"/>
    <col min="10" max="10" width="14.28515625" style="15" bestFit="1" customWidth="1"/>
    <col min="11" max="14" width="9.140625" style="15"/>
    <col min="15" max="15" width="9.140625" style="16"/>
    <col min="16" max="24" width="12.5703125" style="15" customWidth="1"/>
    <col min="25" max="16384" width="9.140625" style="16"/>
  </cols>
  <sheetData>
    <row r="1" spans="1:24" ht="20.100000000000001" customHeight="1" x14ac:dyDescent="0.25">
      <c r="A1" s="13" t="s">
        <v>29</v>
      </c>
      <c r="E1" s="13" t="s">
        <v>30</v>
      </c>
      <c r="F1" s="17"/>
      <c r="G1" s="17"/>
      <c r="H1" s="17"/>
      <c r="I1" s="17"/>
      <c r="J1" s="17"/>
      <c r="P1" s="13" t="s">
        <v>31</v>
      </c>
    </row>
    <row r="2" spans="1:24" ht="15.75" thickBot="1" x14ac:dyDescent="0.3">
      <c r="A2" s="16"/>
      <c r="B2" s="16"/>
      <c r="C2" s="16"/>
    </row>
    <row r="3" spans="1:24" ht="30.75" thickBot="1" x14ac:dyDescent="0.35">
      <c r="A3" s="18" t="s">
        <v>32</v>
      </c>
      <c r="B3" s="18" t="s">
        <v>33</v>
      </c>
      <c r="C3" s="18" t="s">
        <v>34</v>
      </c>
      <c r="E3" s="19" t="s">
        <v>5</v>
      </c>
      <c r="F3" s="19" t="s">
        <v>6</v>
      </c>
      <c r="G3" s="19" t="s">
        <v>7</v>
      </c>
      <c r="H3" s="19" t="s">
        <v>8</v>
      </c>
      <c r="I3" s="19" t="s">
        <v>9</v>
      </c>
      <c r="J3" s="19" t="s">
        <v>10</v>
      </c>
      <c r="K3" s="19" t="s">
        <v>11</v>
      </c>
      <c r="L3" s="19" t="s">
        <v>12</v>
      </c>
      <c r="M3" s="19" t="s">
        <v>13</v>
      </c>
      <c r="N3" s="19" t="s">
        <v>14</v>
      </c>
      <c r="P3" s="19" t="s">
        <v>35</v>
      </c>
      <c r="Q3" s="19" t="s">
        <v>36</v>
      </c>
      <c r="R3" s="19" t="s">
        <v>37</v>
      </c>
      <c r="S3" s="19" t="s">
        <v>16</v>
      </c>
      <c r="T3" s="19" t="s">
        <v>38</v>
      </c>
      <c r="U3" s="19" t="s">
        <v>39</v>
      </c>
      <c r="V3" s="19" t="s">
        <v>40</v>
      </c>
      <c r="W3" s="19" t="s">
        <v>41</v>
      </c>
      <c r="X3" s="19" t="s">
        <v>42</v>
      </c>
    </row>
    <row r="4" spans="1:24" ht="15.75" thickBot="1" x14ac:dyDescent="0.3">
      <c r="A4" s="20">
        <v>81</v>
      </c>
      <c r="B4" s="21" t="s">
        <v>43</v>
      </c>
      <c r="C4" s="20" t="s">
        <v>44</v>
      </c>
      <c r="E4" s="22">
        <v>1</v>
      </c>
      <c r="F4" s="22" t="s">
        <v>45</v>
      </c>
      <c r="G4" s="23">
        <v>4098</v>
      </c>
      <c r="H4" s="23">
        <v>4073</v>
      </c>
      <c r="I4" s="23">
        <v>1553</v>
      </c>
      <c r="J4" s="24">
        <v>343</v>
      </c>
      <c r="K4" s="24">
        <v>6222</v>
      </c>
      <c r="L4" s="24">
        <v>3489</v>
      </c>
      <c r="M4" s="25">
        <v>52</v>
      </c>
      <c r="N4" s="26">
        <v>44</v>
      </c>
      <c r="P4" s="27">
        <v>1</v>
      </c>
      <c r="Q4" s="27">
        <v>179</v>
      </c>
      <c r="R4" s="27">
        <v>22</v>
      </c>
      <c r="S4" s="27">
        <v>196</v>
      </c>
      <c r="T4" s="27">
        <v>155</v>
      </c>
      <c r="U4" s="27">
        <v>159</v>
      </c>
      <c r="V4" s="27">
        <v>395</v>
      </c>
      <c r="W4" s="27" t="s">
        <v>46</v>
      </c>
      <c r="X4" s="27">
        <v>8</v>
      </c>
    </row>
    <row r="5" spans="1:24" ht="15.95" customHeight="1" thickBot="1" x14ac:dyDescent="0.3">
      <c r="A5" s="28">
        <v>93</v>
      </c>
      <c r="B5" s="29" t="s">
        <v>47</v>
      </c>
      <c r="C5" s="28" t="s">
        <v>48</v>
      </c>
      <c r="E5" s="30">
        <v>2</v>
      </c>
      <c r="F5" s="30" t="s">
        <v>49</v>
      </c>
      <c r="G5" s="31">
        <v>5327</v>
      </c>
      <c r="H5" s="31">
        <v>4504</v>
      </c>
      <c r="I5" s="31">
        <v>1287</v>
      </c>
      <c r="J5" s="32">
        <v>5180</v>
      </c>
      <c r="K5" s="32">
        <v>4965</v>
      </c>
      <c r="L5" s="33">
        <v>4748</v>
      </c>
      <c r="M5" s="34">
        <v>50</v>
      </c>
      <c r="N5" s="35">
        <v>15</v>
      </c>
      <c r="P5" s="36">
        <v>2</v>
      </c>
      <c r="Q5" s="36">
        <v>1296</v>
      </c>
      <c r="R5" s="36">
        <v>20</v>
      </c>
      <c r="S5" s="36">
        <v>164</v>
      </c>
      <c r="T5" s="36">
        <v>105</v>
      </c>
      <c r="U5" s="36">
        <v>93</v>
      </c>
      <c r="V5" s="36">
        <v>385</v>
      </c>
      <c r="W5" s="37">
        <v>36679</v>
      </c>
      <c r="X5" s="36">
        <v>8</v>
      </c>
    </row>
    <row r="6" spans="1:24" ht="15.95" customHeight="1" thickBot="1" x14ac:dyDescent="0.3">
      <c r="A6" s="28">
        <v>111</v>
      </c>
      <c r="B6" s="29" t="s">
        <v>50</v>
      </c>
      <c r="C6" s="28" t="s">
        <v>51</v>
      </c>
      <c r="E6" s="38">
        <v>3</v>
      </c>
      <c r="F6" s="38" t="s">
        <v>52</v>
      </c>
      <c r="G6" s="31">
        <v>4075</v>
      </c>
      <c r="H6" s="31">
        <v>283</v>
      </c>
      <c r="I6" s="31">
        <v>3490</v>
      </c>
      <c r="J6" s="32">
        <v>1296</v>
      </c>
      <c r="K6" s="32">
        <v>4823</v>
      </c>
      <c r="L6" s="32">
        <v>179</v>
      </c>
      <c r="M6" s="39">
        <v>52</v>
      </c>
      <c r="N6" s="40">
        <v>97</v>
      </c>
      <c r="P6" s="27">
        <v>3</v>
      </c>
      <c r="Q6" s="27">
        <v>1758</v>
      </c>
      <c r="R6" s="27">
        <v>20</v>
      </c>
      <c r="S6" s="27">
        <v>154</v>
      </c>
      <c r="T6" s="27">
        <v>75</v>
      </c>
      <c r="U6" s="27">
        <v>86</v>
      </c>
      <c r="V6" s="27">
        <v>400</v>
      </c>
      <c r="W6" s="41">
        <v>36708</v>
      </c>
      <c r="X6" s="27">
        <v>8</v>
      </c>
    </row>
    <row r="7" spans="1:24" ht="15.95" customHeight="1" thickBot="1" x14ac:dyDescent="0.3">
      <c r="A7" s="28">
        <v>876</v>
      </c>
      <c r="B7" s="29" t="s">
        <v>53</v>
      </c>
      <c r="C7" s="28" t="s">
        <v>54</v>
      </c>
      <c r="E7" s="30">
        <v>4</v>
      </c>
      <c r="F7" s="30" t="s">
        <v>55</v>
      </c>
      <c r="G7" s="31">
        <v>2815</v>
      </c>
      <c r="H7" s="31">
        <v>900</v>
      </c>
      <c r="I7" s="31">
        <v>2252</v>
      </c>
      <c r="J7" s="32">
        <v>4267</v>
      </c>
      <c r="K7" s="32">
        <v>4992</v>
      </c>
      <c r="L7" s="32">
        <v>5130</v>
      </c>
      <c r="M7" s="34">
        <v>45</v>
      </c>
      <c r="N7" s="35">
        <v>26</v>
      </c>
      <c r="P7" s="36">
        <v>4</v>
      </c>
      <c r="Q7" s="36">
        <v>4451</v>
      </c>
      <c r="R7" s="36">
        <v>19</v>
      </c>
      <c r="S7" s="36">
        <v>186</v>
      </c>
      <c r="T7" s="36">
        <v>75</v>
      </c>
      <c r="U7" s="36">
        <v>194</v>
      </c>
      <c r="V7" s="36">
        <v>355</v>
      </c>
      <c r="W7" s="37">
        <v>36708</v>
      </c>
      <c r="X7" s="36">
        <v>8</v>
      </c>
    </row>
    <row r="8" spans="1:24" ht="15.95" customHeight="1" thickBot="1" x14ac:dyDescent="0.3">
      <c r="A8" s="28">
        <v>1038</v>
      </c>
      <c r="B8" s="29" t="s">
        <v>56</v>
      </c>
      <c r="C8" s="28" t="s">
        <v>57</v>
      </c>
      <c r="E8" s="38">
        <v>5</v>
      </c>
      <c r="F8" s="38" t="s">
        <v>58</v>
      </c>
      <c r="G8" s="31">
        <v>4243</v>
      </c>
      <c r="H8" s="31">
        <v>4847</v>
      </c>
      <c r="I8" s="31">
        <v>5777</v>
      </c>
      <c r="J8" s="32">
        <v>1539</v>
      </c>
      <c r="K8" s="32">
        <v>4013</v>
      </c>
      <c r="L8" s="32">
        <v>1102</v>
      </c>
      <c r="M8" s="39">
        <v>30</v>
      </c>
      <c r="N8" s="40">
        <v>44</v>
      </c>
      <c r="P8" s="27">
        <v>5</v>
      </c>
      <c r="Q8" s="27">
        <v>2172</v>
      </c>
      <c r="R8" s="27">
        <v>19</v>
      </c>
      <c r="S8" s="27">
        <v>178</v>
      </c>
      <c r="T8" s="27">
        <v>85</v>
      </c>
      <c r="U8" s="27">
        <v>96</v>
      </c>
      <c r="V8" s="27">
        <v>395</v>
      </c>
      <c r="W8" s="41">
        <v>36679</v>
      </c>
      <c r="X8" s="27">
        <v>8</v>
      </c>
    </row>
    <row r="9" spans="1:24" ht="15.95" customHeight="1" thickBot="1" x14ac:dyDescent="0.3">
      <c r="A9" s="28">
        <v>1091</v>
      </c>
      <c r="B9" s="29" t="s">
        <v>59</v>
      </c>
      <c r="C9" s="28" t="s">
        <v>60</v>
      </c>
      <c r="E9" s="30">
        <v>6</v>
      </c>
      <c r="F9" s="30" t="s">
        <v>61</v>
      </c>
      <c r="G9" s="31">
        <v>2200</v>
      </c>
      <c r="H9" s="31">
        <v>237</v>
      </c>
      <c r="I9" s="31">
        <v>4265</v>
      </c>
      <c r="J9" s="32">
        <v>2386</v>
      </c>
      <c r="K9" s="32">
        <v>1398</v>
      </c>
      <c r="L9" s="32">
        <v>5020</v>
      </c>
      <c r="M9" s="34">
        <v>79</v>
      </c>
      <c r="N9" s="35">
        <v>27</v>
      </c>
      <c r="P9" s="36">
        <v>6</v>
      </c>
      <c r="Q9" s="36">
        <v>2200</v>
      </c>
      <c r="R9" s="36">
        <v>19</v>
      </c>
      <c r="S9" s="36">
        <v>156</v>
      </c>
      <c r="T9" s="36">
        <v>170</v>
      </c>
      <c r="U9" s="36">
        <v>70</v>
      </c>
      <c r="V9" s="36">
        <v>390</v>
      </c>
      <c r="W9" s="37">
        <v>36679</v>
      </c>
      <c r="X9" s="36">
        <v>8</v>
      </c>
    </row>
    <row r="10" spans="1:24" ht="15.95" customHeight="1" thickBot="1" x14ac:dyDescent="0.3">
      <c r="A10" s="28">
        <v>1094</v>
      </c>
      <c r="B10" s="29" t="s">
        <v>62</v>
      </c>
      <c r="C10" s="28" t="s">
        <v>63</v>
      </c>
      <c r="E10" s="38">
        <v>7</v>
      </c>
      <c r="F10" s="38" t="s">
        <v>64</v>
      </c>
      <c r="G10" s="31">
        <v>4074</v>
      </c>
      <c r="H10" s="31">
        <v>342</v>
      </c>
      <c r="I10" s="31">
        <v>5898</v>
      </c>
      <c r="J10" s="32">
        <v>2393</v>
      </c>
      <c r="K10" s="32">
        <v>5409</v>
      </c>
      <c r="L10" s="32">
        <v>4547</v>
      </c>
      <c r="M10" s="39">
        <v>44</v>
      </c>
      <c r="N10" s="40">
        <v>85</v>
      </c>
      <c r="P10" s="27">
        <v>7</v>
      </c>
      <c r="Q10" s="27">
        <v>3824</v>
      </c>
      <c r="R10" s="27">
        <v>19</v>
      </c>
      <c r="S10" s="27">
        <v>152</v>
      </c>
      <c r="T10" s="27">
        <v>95</v>
      </c>
      <c r="U10" s="27">
        <v>152</v>
      </c>
      <c r="V10" s="27">
        <v>390</v>
      </c>
      <c r="W10" s="41">
        <v>36679</v>
      </c>
      <c r="X10" s="27">
        <v>8</v>
      </c>
    </row>
    <row r="11" spans="1:24" ht="15.95" customHeight="1" thickBot="1" x14ac:dyDescent="0.3">
      <c r="A11" s="28">
        <v>1625</v>
      </c>
      <c r="B11" s="29" t="s">
        <v>65</v>
      </c>
      <c r="C11" s="28" t="s">
        <v>66</v>
      </c>
      <c r="E11" s="30">
        <v>8</v>
      </c>
      <c r="F11" s="30" t="s">
        <v>67</v>
      </c>
      <c r="G11" s="31">
        <v>5410</v>
      </c>
      <c r="H11" s="31">
        <v>5022</v>
      </c>
      <c r="I11" s="31">
        <v>1369</v>
      </c>
      <c r="J11" s="32">
        <v>6167</v>
      </c>
      <c r="K11" s="32">
        <v>4582</v>
      </c>
      <c r="L11" s="32">
        <v>120</v>
      </c>
      <c r="M11" s="34">
        <v>47</v>
      </c>
      <c r="N11" s="35">
        <v>32</v>
      </c>
      <c r="P11" s="36">
        <v>8</v>
      </c>
      <c r="Q11" s="36">
        <v>1876</v>
      </c>
      <c r="R11" s="36">
        <v>17</v>
      </c>
      <c r="S11" s="36">
        <v>132</v>
      </c>
      <c r="T11" s="36">
        <v>155</v>
      </c>
      <c r="U11" s="36">
        <v>128</v>
      </c>
      <c r="V11" s="36">
        <v>320</v>
      </c>
      <c r="W11" s="37">
        <v>36708</v>
      </c>
      <c r="X11" s="36">
        <v>8</v>
      </c>
    </row>
    <row r="12" spans="1:24" ht="15.95" customHeight="1" thickBot="1" x14ac:dyDescent="0.3">
      <c r="A12" s="28">
        <v>1732</v>
      </c>
      <c r="B12" s="29" t="s">
        <v>68</v>
      </c>
      <c r="C12" s="28" t="s">
        <v>69</v>
      </c>
      <c r="E12" s="38">
        <v>9</v>
      </c>
      <c r="F12" s="38" t="s">
        <v>70</v>
      </c>
      <c r="G12" s="31">
        <v>3976</v>
      </c>
      <c r="H12" s="31">
        <v>2556</v>
      </c>
      <c r="I12" s="31">
        <v>1876</v>
      </c>
      <c r="J12" s="32">
        <v>4533</v>
      </c>
      <c r="K12" s="32">
        <v>4083</v>
      </c>
      <c r="L12" s="32">
        <v>5063</v>
      </c>
      <c r="M12" s="39">
        <v>60</v>
      </c>
      <c r="N12" s="40">
        <v>32</v>
      </c>
      <c r="P12" s="27">
        <v>9</v>
      </c>
      <c r="Q12" s="27">
        <v>2252</v>
      </c>
      <c r="R12" s="27">
        <v>17</v>
      </c>
      <c r="S12" s="27">
        <v>130</v>
      </c>
      <c r="T12" s="27">
        <v>90</v>
      </c>
      <c r="U12" s="27">
        <v>110</v>
      </c>
      <c r="V12" s="27">
        <v>360</v>
      </c>
      <c r="W12" s="41">
        <v>36679</v>
      </c>
      <c r="X12" s="27">
        <v>8</v>
      </c>
    </row>
    <row r="13" spans="1:24" ht="15.95" customHeight="1" thickBot="1" x14ac:dyDescent="0.3">
      <c r="A13" s="28">
        <v>1736</v>
      </c>
      <c r="B13" s="29" t="s">
        <v>71</v>
      </c>
      <c r="C13" s="28" t="s">
        <v>72</v>
      </c>
      <c r="E13" s="30">
        <v>10</v>
      </c>
      <c r="F13" s="30" t="s">
        <v>73</v>
      </c>
      <c r="G13" s="31">
        <v>4451</v>
      </c>
      <c r="H13" s="31">
        <v>2187</v>
      </c>
      <c r="I13" s="31">
        <v>2172</v>
      </c>
      <c r="J13" s="32">
        <v>1051</v>
      </c>
      <c r="K13" s="32">
        <v>2614</v>
      </c>
      <c r="L13" s="32">
        <v>4902</v>
      </c>
      <c r="M13" s="34">
        <v>92</v>
      </c>
      <c r="N13" s="35">
        <v>52</v>
      </c>
      <c r="P13" s="36">
        <v>10</v>
      </c>
      <c r="Q13" s="36">
        <v>4547</v>
      </c>
      <c r="R13" s="36">
        <v>16</v>
      </c>
      <c r="S13" s="36">
        <v>164</v>
      </c>
      <c r="T13" s="36">
        <v>75</v>
      </c>
      <c r="U13" s="36">
        <v>87</v>
      </c>
      <c r="V13" s="36">
        <v>355</v>
      </c>
      <c r="W13" s="37">
        <v>36679</v>
      </c>
      <c r="X13" s="36">
        <v>8</v>
      </c>
    </row>
    <row r="14" spans="1:24" ht="15.95" customHeight="1" thickBot="1" x14ac:dyDescent="0.3">
      <c r="A14" s="28">
        <v>1756</v>
      </c>
      <c r="B14" s="29" t="s">
        <v>74</v>
      </c>
      <c r="C14" s="28" t="s">
        <v>72</v>
      </c>
      <c r="E14" s="38">
        <v>11</v>
      </c>
      <c r="F14" s="38" t="s">
        <v>75</v>
      </c>
      <c r="G14" s="31">
        <v>1758</v>
      </c>
      <c r="H14" s="31">
        <v>3824</v>
      </c>
      <c r="I14" s="31">
        <v>4965</v>
      </c>
      <c r="J14" s="32">
        <v>5317</v>
      </c>
      <c r="K14" s="32">
        <v>4901</v>
      </c>
      <c r="L14" s="32">
        <v>1553</v>
      </c>
      <c r="M14" s="39">
        <v>70</v>
      </c>
      <c r="N14" s="40">
        <v>25</v>
      </c>
      <c r="P14" s="27">
        <v>11</v>
      </c>
      <c r="Q14" s="27">
        <v>343</v>
      </c>
      <c r="R14" s="27">
        <v>16</v>
      </c>
      <c r="S14" s="27">
        <v>140</v>
      </c>
      <c r="T14" s="27">
        <v>120</v>
      </c>
      <c r="U14" s="27">
        <v>46</v>
      </c>
      <c r="V14" s="27">
        <v>390</v>
      </c>
      <c r="W14" s="41">
        <v>36649</v>
      </c>
      <c r="X14" s="27">
        <v>8</v>
      </c>
    </row>
    <row r="15" spans="1:24" ht="15.95" customHeight="1" thickBot="1" x14ac:dyDescent="0.3">
      <c r="A15" s="28">
        <v>1781</v>
      </c>
      <c r="B15" s="29" t="s">
        <v>76</v>
      </c>
      <c r="C15" s="28" t="s">
        <v>77</v>
      </c>
      <c r="E15" s="30">
        <v>12</v>
      </c>
      <c r="F15" s="30" t="s">
        <v>78</v>
      </c>
      <c r="G15" s="31">
        <v>4847</v>
      </c>
      <c r="H15" s="31">
        <v>2393</v>
      </c>
      <c r="I15" s="31">
        <v>4098</v>
      </c>
      <c r="J15" s="32">
        <v>1287</v>
      </c>
      <c r="K15" s="32">
        <v>4992</v>
      </c>
      <c r="L15" s="32">
        <v>4265</v>
      </c>
      <c r="M15" s="34">
        <v>65</v>
      </c>
      <c r="N15" s="35">
        <v>50</v>
      </c>
      <c r="P15" s="36">
        <v>12</v>
      </c>
      <c r="Q15" s="36">
        <v>4823</v>
      </c>
      <c r="R15" s="36">
        <v>16</v>
      </c>
      <c r="S15" s="36">
        <v>122</v>
      </c>
      <c r="T15" s="36">
        <v>100</v>
      </c>
      <c r="U15" s="36">
        <v>93</v>
      </c>
      <c r="V15" s="36">
        <v>330</v>
      </c>
      <c r="W15" s="37">
        <v>36679</v>
      </c>
      <c r="X15" s="36">
        <v>8</v>
      </c>
    </row>
    <row r="16" spans="1:24" ht="15.95" customHeight="1" thickBot="1" x14ac:dyDescent="0.3">
      <c r="A16" s="28">
        <v>2022</v>
      </c>
      <c r="B16" s="29" t="s">
        <v>79</v>
      </c>
      <c r="C16" s="28" t="s">
        <v>80</v>
      </c>
      <c r="E16" s="38">
        <v>13</v>
      </c>
      <c r="F16" s="38" t="s">
        <v>81</v>
      </c>
      <c r="G16" s="31">
        <v>4075</v>
      </c>
      <c r="H16" s="31">
        <v>5130</v>
      </c>
      <c r="I16" s="31">
        <v>5898</v>
      </c>
      <c r="J16" s="32">
        <v>4013</v>
      </c>
      <c r="K16" s="32">
        <v>4504</v>
      </c>
      <c r="L16" s="32">
        <v>4073</v>
      </c>
      <c r="M16" s="39">
        <v>46</v>
      </c>
      <c r="N16" s="40">
        <v>50</v>
      </c>
      <c r="P16" s="27">
        <v>13</v>
      </c>
      <c r="Q16" s="27">
        <v>2393</v>
      </c>
      <c r="R16" s="27">
        <v>15</v>
      </c>
      <c r="S16" s="27">
        <v>144</v>
      </c>
      <c r="T16" s="27">
        <v>120</v>
      </c>
      <c r="U16" s="27">
        <v>213</v>
      </c>
      <c r="V16" s="27">
        <v>315</v>
      </c>
      <c r="W16" s="41">
        <v>36679</v>
      </c>
      <c r="X16" s="27">
        <v>8</v>
      </c>
    </row>
    <row r="17" spans="1:24" ht="15.95" customHeight="1" thickBot="1" x14ac:dyDescent="0.3">
      <c r="A17" s="28">
        <v>2039</v>
      </c>
      <c r="B17" s="29" t="s">
        <v>82</v>
      </c>
      <c r="C17" s="28" t="s">
        <v>83</v>
      </c>
      <c r="E17" s="30">
        <v>14</v>
      </c>
      <c r="F17" s="30" t="s">
        <v>84</v>
      </c>
      <c r="G17" s="31">
        <v>1539</v>
      </c>
      <c r="H17" s="31">
        <v>1398</v>
      </c>
      <c r="I17" s="31">
        <v>6167</v>
      </c>
      <c r="J17" s="32">
        <v>5063</v>
      </c>
      <c r="K17" s="32">
        <v>5180</v>
      </c>
      <c r="L17" s="32">
        <v>283</v>
      </c>
      <c r="M17" s="34">
        <v>46</v>
      </c>
      <c r="N17" s="35">
        <v>72</v>
      </c>
      <c r="P17" s="36">
        <v>14</v>
      </c>
      <c r="Q17" s="36">
        <v>3490</v>
      </c>
      <c r="R17" s="36">
        <v>15</v>
      </c>
      <c r="S17" s="36">
        <v>138</v>
      </c>
      <c r="T17" s="36">
        <v>80</v>
      </c>
      <c r="U17" s="36">
        <v>72</v>
      </c>
      <c r="V17" s="36">
        <v>360</v>
      </c>
      <c r="W17" s="37">
        <v>36649</v>
      </c>
      <c r="X17" s="36">
        <v>8</v>
      </c>
    </row>
    <row r="18" spans="1:24" ht="15.95" customHeight="1" thickBot="1" x14ac:dyDescent="0.3">
      <c r="A18" s="28">
        <v>2040</v>
      </c>
      <c r="B18" s="29" t="s">
        <v>85</v>
      </c>
      <c r="C18" s="28" t="s">
        <v>86</v>
      </c>
      <c r="E18" s="38">
        <v>15</v>
      </c>
      <c r="F18" s="38" t="s">
        <v>87</v>
      </c>
      <c r="G18" s="31">
        <v>343</v>
      </c>
      <c r="H18" s="31">
        <v>2252</v>
      </c>
      <c r="I18" s="31">
        <v>5410</v>
      </c>
      <c r="J18" s="32">
        <v>5777</v>
      </c>
      <c r="K18" s="32">
        <v>1051</v>
      </c>
      <c r="L18" s="32">
        <v>2815</v>
      </c>
      <c r="M18" s="39">
        <v>100</v>
      </c>
      <c r="N18" s="40">
        <v>42</v>
      </c>
      <c r="P18" s="27">
        <v>15</v>
      </c>
      <c r="Q18" s="27">
        <v>237</v>
      </c>
      <c r="R18" s="27">
        <v>14</v>
      </c>
      <c r="S18" s="27">
        <v>164</v>
      </c>
      <c r="T18" s="27">
        <v>90</v>
      </c>
      <c r="U18" s="27">
        <v>114</v>
      </c>
      <c r="V18" s="27">
        <v>295</v>
      </c>
      <c r="W18" s="41">
        <v>36649</v>
      </c>
      <c r="X18" s="27">
        <v>8</v>
      </c>
    </row>
    <row r="19" spans="1:24" ht="15.95" customHeight="1" thickBot="1" x14ac:dyDescent="0.3">
      <c r="A19" s="28">
        <v>2081</v>
      </c>
      <c r="B19" s="29" t="s">
        <v>88</v>
      </c>
      <c r="C19" s="28" t="s">
        <v>72</v>
      </c>
      <c r="E19" s="30">
        <v>16</v>
      </c>
      <c r="F19" s="30" t="s">
        <v>89</v>
      </c>
      <c r="G19" s="31">
        <v>3489</v>
      </c>
      <c r="H19" s="31">
        <v>2200</v>
      </c>
      <c r="I19" s="31">
        <v>4083</v>
      </c>
      <c r="J19" s="32">
        <v>5327</v>
      </c>
      <c r="K19" s="32">
        <v>342</v>
      </c>
      <c r="L19" s="32">
        <v>900</v>
      </c>
      <c r="M19" s="34">
        <v>50</v>
      </c>
      <c r="N19" s="35">
        <v>20</v>
      </c>
      <c r="P19" s="36">
        <v>16</v>
      </c>
      <c r="Q19" s="36">
        <v>2614</v>
      </c>
      <c r="R19" s="36">
        <v>14</v>
      </c>
      <c r="S19" s="36">
        <v>162</v>
      </c>
      <c r="T19" s="36">
        <v>75</v>
      </c>
      <c r="U19" s="36">
        <v>149</v>
      </c>
      <c r="V19" s="36">
        <v>325</v>
      </c>
      <c r="W19" s="37">
        <v>36649</v>
      </c>
      <c r="X19" s="36">
        <v>8</v>
      </c>
    </row>
    <row r="20" spans="1:24" ht="15.95" customHeight="1" thickBot="1" x14ac:dyDescent="0.3">
      <c r="A20" s="28">
        <v>2169</v>
      </c>
      <c r="B20" s="29" t="s">
        <v>90</v>
      </c>
      <c r="C20" s="28" t="s">
        <v>91</v>
      </c>
      <c r="E20" s="38">
        <v>17</v>
      </c>
      <c r="F20" s="38" t="s">
        <v>92</v>
      </c>
      <c r="G20" s="31">
        <v>4074</v>
      </c>
      <c r="H20" s="31">
        <v>4533</v>
      </c>
      <c r="I20" s="31">
        <v>4902</v>
      </c>
      <c r="J20" s="32">
        <v>3824</v>
      </c>
      <c r="K20" s="32">
        <v>2614</v>
      </c>
      <c r="L20" s="32">
        <v>4823</v>
      </c>
      <c r="M20" s="39">
        <v>45</v>
      </c>
      <c r="N20" s="40">
        <v>70</v>
      </c>
      <c r="P20" s="27">
        <v>17</v>
      </c>
      <c r="Q20" s="27">
        <v>2815</v>
      </c>
      <c r="R20" s="27">
        <v>14</v>
      </c>
      <c r="S20" s="27">
        <v>142</v>
      </c>
      <c r="T20" s="27">
        <v>90</v>
      </c>
      <c r="U20" s="27">
        <v>59</v>
      </c>
      <c r="V20" s="27">
        <v>370</v>
      </c>
      <c r="W20" s="41">
        <v>36620</v>
      </c>
      <c r="X20" s="27">
        <v>8</v>
      </c>
    </row>
    <row r="21" spans="1:24" ht="15.95" customHeight="1" thickBot="1" x14ac:dyDescent="0.3">
      <c r="A21" s="28">
        <v>2220</v>
      </c>
      <c r="B21" s="29" t="s">
        <v>93</v>
      </c>
      <c r="C21" s="28" t="s">
        <v>94</v>
      </c>
      <c r="E21" s="30">
        <v>18</v>
      </c>
      <c r="F21" s="30" t="s">
        <v>95</v>
      </c>
      <c r="G21" s="31">
        <v>4582</v>
      </c>
      <c r="H21" s="31">
        <v>4243</v>
      </c>
      <c r="I21" s="31">
        <v>4748</v>
      </c>
      <c r="J21" s="32">
        <v>5409</v>
      </c>
      <c r="K21" s="32">
        <v>5020</v>
      </c>
      <c r="L21" s="32">
        <v>179</v>
      </c>
      <c r="M21" s="34">
        <v>60</v>
      </c>
      <c r="N21" s="35">
        <v>92</v>
      </c>
      <c r="P21" s="42">
        <v>18</v>
      </c>
      <c r="Q21" s="42">
        <v>1102</v>
      </c>
      <c r="R21" s="42">
        <v>14</v>
      </c>
      <c r="S21" s="42">
        <v>140</v>
      </c>
      <c r="T21" s="42">
        <v>80</v>
      </c>
      <c r="U21" s="42">
        <v>63</v>
      </c>
      <c r="V21" s="42">
        <v>380</v>
      </c>
      <c r="W21" s="43">
        <v>36649</v>
      </c>
      <c r="X21" s="42">
        <v>8</v>
      </c>
    </row>
    <row r="22" spans="1:24" ht="15.95" customHeight="1" thickBot="1" x14ac:dyDescent="0.3">
      <c r="A22" s="28">
        <v>2358</v>
      </c>
      <c r="B22" s="29" t="s">
        <v>96</v>
      </c>
      <c r="C22" s="28" t="s">
        <v>97</v>
      </c>
      <c r="E22" s="38">
        <v>19</v>
      </c>
      <c r="F22" s="38" t="s">
        <v>98</v>
      </c>
      <c r="G22" s="31">
        <v>237</v>
      </c>
      <c r="H22" s="31">
        <v>1876</v>
      </c>
      <c r="I22" s="31">
        <v>1758</v>
      </c>
      <c r="J22" s="32">
        <v>3976</v>
      </c>
      <c r="K22" s="32">
        <v>4547</v>
      </c>
      <c r="L22" s="32">
        <v>3490</v>
      </c>
      <c r="M22" s="39">
        <v>75</v>
      </c>
      <c r="N22" s="40">
        <v>31</v>
      </c>
    </row>
    <row r="23" spans="1:24" ht="15.95" customHeight="1" thickBot="1" x14ac:dyDescent="0.3">
      <c r="A23" s="28">
        <v>2481</v>
      </c>
      <c r="B23" s="29" t="s">
        <v>99</v>
      </c>
      <c r="C23" s="28" t="s">
        <v>100</v>
      </c>
      <c r="E23" s="30">
        <v>20</v>
      </c>
      <c r="F23" s="30" t="s">
        <v>101</v>
      </c>
      <c r="G23" s="31">
        <v>5317</v>
      </c>
      <c r="H23" s="31">
        <v>1102</v>
      </c>
      <c r="I23" s="31">
        <v>4267</v>
      </c>
      <c r="J23" s="32">
        <v>2172</v>
      </c>
      <c r="K23" s="32">
        <v>1369</v>
      </c>
      <c r="L23" s="32">
        <v>1296</v>
      </c>
      <c r="M23" s="34">
        <v>40</v>
      </c>
      <c r="N23" s="35">
        <v>69</v>
      </c>
    </row>
    <row r="24" spans="1:24" ht="15.95" customHeight="1" thickBot="1" x14ac:dyDescent="0.3">
      <c r="A24" s="28">
        <v>2704</v>
      </c>
      <c r="B24" s="29" t="s">
        <v>102</v>
      </c>
      <c r="C24" s="28" t="s">
        <v>103</v>
      </c>
      <c r="E24" s="38">
        <v>21</v>
      </c>
      <c r="F24" s="38" t="s">
        <v>104</v>
      </c>
      <c r="G24" s="31">
        <v>6222</v>
      </c>
      <c r="H24" s="31">
        <v>2187</v>
      </c>
      <c r="I24" s="31">
        <v>2386</v>
      </c>
      <c r="J24" s="32">
        <v>5022</v>
      </c>
      <c r="K24" s="32">
        <v>2556</v>
      </c>
      <c r="L24" s="32">
        <v>4901</v>
      </c>
      <c r="M24" s="39">
        <v>40</v>
      </c>
      <c r="N24" s="40">
        <v>44</v>
      </c>
    </row>
    <row r="25" spans="1:24" ht="15.95" customHeight="1" thickBot="1" x14ac:dyDescent="0.3">
      <c r="A25" s="28">
        <v>2709</v>
      </c>
      <c r="B25" s="29" t="s">
        <v>105</v>
      </c>
      <c r="C25" s="28" t="s">
        <v>77</v>
      </c>
      <c r="E25" s="30">
        <v>22</v>
      </c>
      <c r="F25" s="30" t="s">
        <v>106</v>
      </c>
      <c r="G25" s="31">
        <v>4451</v>
      </c>
      <c r="H25" s="31">
        <v>5063</v>
      </c>
      <c r="I25" s="31">
        <v>2614</v>
      </c>
      <c r="J25" s="32">
        <v>120</v>
      </c>
      <c r="K25" s="32">
        <v>5777</v>
      </c>
      <c r="L25" s="32">
        <v>4504</v>
      </c>
      <c r="M25" s="34">
        <v>105</v>
      </c>
      <c r="N25" s="35">
        <v>72</v>
      </c>
    </row>
    <row r="26" spans="1:24" ht="15.95" customHeight="1" thickBot="1" x14ac:dyDescent="0.3">
      <c r="A26" s="28">
        <v>3352</v>
      </c>
      <c r="B26" s="29" t="s">
        <v>107</v>
      </c>
      <c r="C26" s="28" t="s">
        <v>108</v>
      </c>
      <c r="E26" s="38">
        <v>23</v>
      </c>
      <c r="F26" s="38" t="s">
        <v>109</v>
      </c>
      <c r="G26" s="31">
        <v>5410</v>
      </c>
      <c r="H26" s="31">
        <v>4098</v>
      </c>
      <c r="I26" s="31">
        <v>5327</v>
      </c>
      <c r="J26" s="32">
        <v>4823</v>
      </c>
      <c r="K26" s="32">
        <v>4074</v>
      </c>
      <c r="L26" s="32">
        <v>5020</v>
      </c>
      <c r="M26" s="39">
        <v>40</v>
      </c>
      <c r="N26" s="40">
        <v>27</v>
      </c>
    </row>
    <row r="27" spans="1:24" ht="15.95" customHeight="1" thickBot="1" x14ac:dyDescent="0.3">
      <c r="A27" s="28">
        <v>3528</v>
      </c>
      <c r="B27" s="29" t="s">
        <v>110</v>
      </c>
      <c r="C27" s="28" t="s">
        <v>111</v>
      </c>
      <c r="E27" s="30">
        <v>24</v>
      </c>
      <c r="F27" s="30" t="s">
        <v>112</v>
      </c>
      <c r="G27" s="31">
        <v>4083</v>
      </c>
      <c r="H27" s="31">
        <v>1539</v>
      </c>
      <c r="I27" s="31">
        <v>4902</v>
      </c>
      <c r="J27" s="32">
        <v>1758</v>
      </c>
      <c r="K27" s="32">
        <v>2815</v>
      </c>
      <c r="L27" s="32">
        <v>4582</v>
      </c>
      <c r="M27" s="34">
        <v>12</v>
      </c>
      <c r="N27" s="35">
        <v>57</v>
      </c>
    </row>
    <row r="28" spans="1:24" ht="15.95" customHeight="1" thickBot="1" x14ac:dyDescent="0.3">
      <c r="A28" s="28">
        <v>4021</v>
      </c>
      <c r="B28" s="29" t="s">
        <v>113</v>
      </c>
      <c r="C28" s="28" t="s">
        <v>114</v>
      </c>
      <c r="E28" s="38">
        <v>25</v>
      </c>
      <c r="F28" s="38" t="s">
        <v>115</v>
      </c>
      <c r="G28" s="31">
        <v>342</v>
      </c>
      <c r="H28" s="31">
        <v>5317</v>
      </c>
      <c r="I28" s="31">
        <v>2393</v>
      </c>
      <c r="J28" s="32">
        <v>4013</v>
      </c>
      <c r="K28" s="32">
        <v>3490</v>
      </c>
      <c r="L28" s="32">
        <v>1398</v>
      </c>
      <c r="M28" s="39">
        <v>69</v>
      </c>
      <c r="N28" s="40">
        <v>35</v>
      </c>
    </row>
    <row r="29" spans="1:24" ht="15.95" customHeight="1" thickBot="1" x14ac:dyDescent="0.3">
      <c r="A29" s="28">
        <v>4096</v>
      </c>
      <c r="B29" s="29" t="s">
        <v>116</v>
      </c>
      <c r="C29" s="28" t="s">
        <v>117</v>
      </c>
      <c r="E29" s="30">
        <v>26</v>
      </c>
      <c r="F29" s="30" t="s">
        <v>118</v>
      </c>
      <c r="G29" s="31">
        <v>1296</v>
      </c>
      <c r="H29" s="31">
        <v>1287</v>
      </c>
      <c r="I29" s="31">
        <v>2187</v>
      </c>
      <c r="J29" s="32">
        <v>900</v>
      </c>
      <c r="K29" s="32">
        <v>4243</v>
      </c>
      <c r="L29" s="32">
        <v>4073</v>
      </c>
      <c r="M29" s="34">
        <v>97</v>
      </c>
      <c r="N29" s="35">
        <v>65</v>
      </c>
    </row>
    <row r="30" spans="1:24" ht="15.95" customHeight="1" thickBot="1" x14ac:dyDescent="0.3">
      <c r="A30" s="28">
        <v>4143</v>
      </c>
      <c r="B30" s="29" t="s">
        <v>119</v>
      </c>
      <c r="C30" s="28" t="s">
        <v>120</v>
      </c>
      <c r="E30" s="38">
        <v>27</v>
      </c>
      <c r="F30" s="38" t="s">
        <v>121</v>
      </c>
      <c r="G30" s="31">
        <v>343</v>
      </c>
      <c r="H30" s="31">
        <v>4547</v>
      </c>
      <c r="I30" s="31">
        <v>1102</v>
      </c>
      <c r="J30" s="32">
        <v>4265</v>
      </c>
      <c r="K30" s="32">
        <v>4748</v>
      </c>
      <c r="L30" s="32">
        <v>5022</v>
      </c>
      <c r="M30" s="39">
        <v>75</v>
      </c>
      <c r="N30" s="40">
        <v>52</v>
      </c>
    </row>
    <row r="31" spans="1:24" ht="15.95" customHeight="1" thickBot="1" x14ac:dyDescent="0.3">
      <c r="A31" s="28">
        <v>4156</v>
      </c>
      <c r="B31" s="29" t="s">
        <v>122</v>
      </c>
      <c r="C31" s="28" t="s">
        <v>123</v>
      </c>
      <c r="E31" s="30">
        <v>28</v>
      </c>
      <c r="F31" s="30" t="s">
        <v>124</v>
      </c>
      <c r="G31" s="31">
        <v>3976</v>
      </c>
      <c r="H31" s="31">
        <v>120</v>
      </c>
      <c r="I31" s="31">
        <v>4533</v>
      </c>
      <c r="J31" s="32">
        <v>4075</v>
      </c>
      <c r="K31" s="32">
        <v>4992</v>
      </c>
      <c r="L31" s="32">
        <v>5180</v>
      </c>
      <c r="M31" s="34">
        <v>62</v>
      </c>
      <c r="N31" s="35">
        <v>67</v>
      </c>
    </row>
    <row r="32" spans="1:24" ht="15.95" customHeight="1" thickBot="1" x14ac:dyDescent="0.3">
      <c r="A32" s="28">
        <v>4212</v>
      </c>
      <c r="B32" s="29" t="s">
        <v>125</v>
      </c>
      <c r="C32" s="28" t="s">
        <v>126</v>
      </c>
      <c r="E32" s="38">
        <v>29</v>
      </c>
      <c r="F32" s="38" t="s">
        <v>127</v>
      </c>
      <c r="G32" s="31">
        <v>1553</v>
      </c>
      <c r="H32" s="31">
        <v>1369</v>
      </c>
      <c r="I32" s="31">
        <v>2556</v>
      </c>
      <c r="J32" s="32">
        <v>283</v>
      </c>
      <c r="K32" s="32">
        <v>237</v>
      </c>
      <c r="L32" s="32">
        <v>2252</v>
      </c>
      <c r="M32" s="39">
        <v>55</v>
      </c>
      <c r="N32" s="40">
        <v>77</v>
      </c>
    </row>
    <row r="33" spans="1:14" ht="15.95" customHeight="1" thickBot="1" x14ac:dyDescent="0.3">
      <c r="A33" s="28">
        <v>4213</v>
      </c>
      <c r="B33" s="29" t="s">
        <v>128</v>
      </c>
      <c r="C33" s="28" t="s">
        <v>129</v>
      </c>
      <c r="E33" s="30">
        <v>30</v>
      </c>
      <c r="F33" s="30" t="s">
        <v>130</v>
      </c>
      <c r="G33" s="31">
        <v>3824</v>
      </c>
      <c r="H33" s="31">
        <v>4901</v>
      </c>
      <c r="I33" s="31">
        <v>2172</v>
      </c>
      <c r="J33" s="32">
        <v>5409</v>
      </c>
      <c r="K33" s="32">
        <v>3489</v>
      </c>
      <c r="L33" s="32">
        <v>5130</v>
      </c>
      <c r="M33" s="34">
        <v>78</v>
      </c>
      <c r="N33" s="35">
        <v>70</v>
      </c>
    </row>
    <row r="34" spans="1:14" ht="15.95" customHeight="1" thickBot="1" x14ac:dyDescent="0.3">
      <c r="A34" s="28">
        <v>4296</v>
      </c>
      <c r="B34" s="29" t="s">
        <v>131</v>
      </c>
      <c r="C34" s="28" t="s">
        <v>132</v>
      </c>
      <c r="E34" s="38">
        <v>31</v>
      </c>
      <c r="F34" s="38" t="s">
        <v>133</v>
      </c>
      <c r="G34" s="31">
        <v>2386</v>
      </c>
      <c r="H34" s="31">
        <v>4965</v>
      </c>
      <c r="I34" s="31">
        <v>6167</v>
      </c>
      <c r="J34" s="32">
        <v>5898</v>
      </c>
      <c r="K34" s="32">
        <v>4267</v>
      </c>
      <c r="L34" s="32">
        <v>4451</v>
      </c>
      <c r="M34" s="39">
        <v>71</v>
      </c>
      <c r="N34" s="40">
        <v>55</v>
      </c>
    </row>
    <row r="35" spans="1:14" ht="15.95" customHeight="1" thickBot="1" x14ac:dyDescent="0.3">
      <c r="A35" s="28">
        <v>4314</v>
      </c>
      <c r="B35" s="29" t="s">
        <v>134</v>
      </c>
      <c r="C35" s="28" t="s">
        <v>135</v>
      </c>
      <c r="E35" s="30">
        <v>32</v>
      </c>
      <c r="F35" s="30" t="s">
        <v>136</v>
      </c>
      <c r="G35" s="31">
        <v>1876</v>
      </c>
      <c r="H35" s="31">
        <v>1051</v>
      </c>
      <c r="I35" s="31">
        <v>6222</v>
      </c>
      <c r="J35" s="32">
        <v>2200</v>
      </c>
      <c r="K35" s="32">
        <v>179</v>
      </c>
      <c r="L35" s="32">
        <v>4847</v>
      </c>
      <c r="M35" s="34">
        <v>72</v>
      </c>
      <c r="N35" s="35">
        <v>114</v>
      </c>
    </row>
    <row r="36" spans="1:14" ht="15.95" customHeight="1" thickBot="1" x14ac:dyDescent="0.3">
      <c r="A36" s="28">
        <v>4645</v>
      </c>
      <c r="B36" s="29" t="s">
        <v>137</v>
      </c>
      <c r="C36" s="28" t="s">
        <v>77</v>
      </c>
      <c r="E36" s="38">
        <v>33</v>
      </c>
      <c r="F36" s="38" t="s">
        <v>138</v>
      </c>
      <c r="G36" s="31">
        <v>4074</v>
      </c>
      <c r="H36" s="31">
        <v>4504</v>
      </c>
      <c r="I36" s="31">
        <v>1398</v>
      </c>
      <c r="J36" s="32">
        <v>1758</v>
      </c>
      <c r="K36" s="32">
        <v>1296</v>
      </c>
      <c r="L36" s="32">
        <v>4243</v>
      </c>
      <c r="M36" s="39">
        <v>37</v>
      </c>
      <c r="N36" s="40">
        <v>45</v>
      </c>
    </row>
    <row r="37" spans="1:14" ht="15.95" customHeight="1" thickBot="1" x14ac:dyDescent="0.3">
      <c r="A37" s="28">
        <v>4646</v>
      </c>
      <c r="B37" s="29" t="s">
        <v>139</v>
      </c>
      <c r="C37" s="28" t="s">
        <v>140</v>
      </c>
      <c r="E37" s="30">
        <v>34</v>
      </c>
      <c r="F37" s="30" t="s">
        <v>141</v>
      </c>
      <c r="G37" s="31">
        <v>4098</v>
      </c>
      <c r="H37" s="31">
        <v>4992</v>
      </c>
      <c r="I37" s="31">
        <v>5022</v>
      </c>
      <c r="J37" s="32">
        <v>283</v>
      </c>
      <c r="K37" s="32">
        <v>5777</v>
      </c>
      <c r="L37" s="32">
        <v>4083</v>
      </c>
      <c r="M37" s="34">
        <v>48</v>
      </c>
      <c r="N37" s="35">
        <v>37</v>
      </c>
    </row>
    <row r="38" spans="1:14" ht="15.95" customHeight="1" thickBot="1" x14ac:dyDescent="0.3">
      <c r="A38" s="28">
        <v>4655</v>
      </c>
      <c r="B38" s="29" t="s">
        <v>142</v>
      </c>
      <c r="C38" s="28" t="s">
        <v>143</v>
      </c>
      <c r="E38" s="38">
        <v>35</v>
      </c>
      <c r="F38" s="38" t="s">
        <v>144</v>
      </c>
      <c r="G38" s="31">
        <v>237</v>
      </c>
      <c r="H38" s="31">
        <v>900</v>
      </c>
      <c r="I38" s="31">
        <v>4533</v>
      </c>
      <c r="J38" s="32">
        <v>1539</v>
      </c>
      <c r="K38" s="32">
        <v>2172</v>
      </c>
      <c r="L38" s="32">
        <v>5410</v>
      </c>
      <c r="M38" s="39">
        <v>70</v>
      </c>
      <c r="N38" s="40">
        <v>67</v>
      </c>
    </row>
    <row r="39" spans="1:14" ht="15.95" customHeight="1" thickBot="1" x14ac:dyDescent="0.3">
      <c r="A39" s="28">
        <v>4787</v>
      </c>
      <c r="B39" s="29" t="s">
        <v>145</v>
      </c>
      <c r="C39" s="28" t="s">
        <v>77</v>
      </c>
      <c r="E39" s="30">
        <v>36</v>
      </c>
      <c r="F39" s="30" t="s">
        <v>146</v>
      </c>
      <c r="G39" s="31">
        <v>3489</v>
      </c>
      <c r="H39" s="31">
        <v>5180</v>
      </c>
      <c r="I39" s="31">
        <v>5020</v>
      </c>
      <c r="J39" s="32">
        <v>5317</v>
      </c>
      <c r="K39" s="32">
        <v>4547</v>
      </c>
      <c r="L39" s="32">
        <v>4451</v>
      </c>
      <c r="M39" s="34">
        <v>35</v>
      </c>
      <c r="N39" s="35">
        <v>66</v>
      </c>
    </row>
    <row r="40" spans="1:14" ht="15.95" customHeight="1" thickBot="1" x14ac:dyDescent="0.3">
      <c r="A40" s="28">
        <v>5442</v>
      </c>
      <c r="B40" s="29" t="s">
        <v>147</v>
      </c>
      <c r="C40" s="28" t="s">
        <v>148</v>
      </c>
      <c r="E40" s="38">
        <v>37</v>
      </c>
      <c r="F40" s="38" t="s">
        <v>149</v>
      </c>
      <c r="G40" s="31">
        <v>1051</v>
      </c>
      <c r="H40" s="31">
        <v>2386</v>
      </c>
      <c r="I40" s="31">
        <v>2393</v>
      </c>
      <c r="J40" s="32">
        <v>6167</v>
      </c>
      <c r="K40" s="32">
        <v>4748</v>
      </c>
      <c r="L40" s="32">
        <v>4073</v>
      </c>
      <c r="M40" s="39">
        <v>77</v>
      </c>
      <c r="N40" s="40">
        <v>78</v>
      </c>
    </row>
    <row r="41" spans="1:14" ht="15.95" customHeight="1" thickBot="1" x14ac:dyDescent="0.3">
      <c r="A41" s="28">
        <v>5541</v>
      </c>
      <c r="B41" s="29" t="s">
        <v>150</v>
      </c>
      <c r="C41" s="28" t="s">
        <v>151</v>
      </c>
      <c r="E41" s="30">
        <v>38</v>
      </c>
      <c r="F41" s="30" t="s">
        <v>152</v>
      </c>
      <c r="G41" s="31">
        <v>2187</v>
      </c>
      <c r="H41" s="31">
        <v>5898</v>
      </c>
      <c r="I41" s="31">
        <v>4013</v>
      </c>
      <c r="J41" s="32">
        <v>3824</v>
      </c>
      <c r="K41" s="32">
        <v>1876</v>
      </c>
      <c r="L41" s="32">
        <v>4582</v>
      </c>
      <c r="M41" s="34">
        <v>35</v>
      </c>
      <c r="N41" s="35">
        <v>97</v>
      </c>
    </row>
    <row r="42" spans="1:14" ht="15.95" customHeight="1" thickBot="1" x14ac:dyDescent="0.3">
      <c r="A42" s="28">
        <v>5822</v>
      </c>
      <c r="B42" s="29" t="s">
        <v>153</v>
      </c>
      <c r="C42" s="28" t="s">
        <v>77</v>
      </c>
      <c r="E42" s="38">
        <v>39</v>
      </c>
      <c r="F42" s="38" t="s">
        <v>154</v>
      </c>
      <c r="G42" s="31">
        <v>1553</v>
      </c>
      <c r="H42" s="31">
        <v>179</v>
      </c>
      <c r="I42" s="31">
        <v>3976</v>
      </c>
      <c r="J42" s="32">
        <v>1102</v>
      </c>
      <c r="K42" s="32">
        <v>5130</v>
      </c>
      <c r="L42" s="32">
        <v>4265</v>
      </c>
      <c r="M42" s="39">
        <v>107</v>
      </c>
      <c r="N42" s="40">
        <v>57</v>
      </c>
    </row>
    <row r="43" spans="1:14" ht="15.95" customHeight="1" thickBot="1" x14ac:dyDescent="0.3">
      <c r="A43" s="28">
        <v>5847</v>
      </c>
      <c r="B43" s="29" t="s">
        <v>155</v>
      </c>
      <c r="C43" s="28" t="s">
        <v>156</v>
      </c>
      <c r="E43" s="30">
        <v>40</v>
      </c>
      <c r="F43" s="30" t="s">
        <v>157</v>
      </c>
      <c r="G43" s="31">
        <v>120</v>
      </c>
      <c r="H43" s="31">
        <v>4901</v>
      </c>
      <c r="I43" s="31">
        <v>4847</v>
      </c>
      <c r="J43" s="32">
        <v>5327</v>
      </c>
      <c r="K43" s="32">
        <v>3490</v>
      </c>
      <c r="L43" s="32">
        <v>2252</v>
      </c>
      <c r="M43" s="34">
        <v>60</v>
      </c>
      <c r="N43" s="35">
        <v>70</v>
      </c>
    </row>
    <row r="44" spans="1:14" ht="15.95" customHeight="1" thickBot="1" x14ac:dyDescent="0.3">
      <c r="E44" s="38">
        <v>41</v>
      </c>
      <c r="F44" s="38" t="s">
        <v>158</v>
      </c>
      <c r="G44" s="31">
        <v>5063</v>
      </c>
      <c r="H44" s="31">
        <v>343</v>
      </c>
      <c r="I44" s="31">
        <v>4267</v>
      </c>
      <c r="J44" s="32">
        <v>342</v>
      </c>
      <c r="K44" s="32">
        <v>4902</v>
      </c>
      <c r="L44" s="32">
        <v>1287</v>
      </c>
      <c r="M44" s="39">
        <v>56</v>
      </c>
      <c r="N44" s="40">
        <v>52</v>
      </c>
    </row>
    <row r="45" spans="1:14" ht="15.95" customHeight="1" thickBot="1" x14ac:dyDescent="0.3">
      <c r="E45" s="30">
        <v>42</v>
      </c>
      <c r="F45" s="30" t="s">
        <v>159</v>
      </c>
      <c r="G45" s="31">
        <v>4965</v>
      </c>
      <c r="H45" s="31">
        <v>4075</v>
      </c>
      <c r="I45" s="31">
        <v>1369</v>
      </c>
      <c r="J45" s="32">
        <v>5409</v>
      </c>
      <c r="K45" s="32">
        <v>6222</v>
      </c>
      <c r="L45" s="32">
        <v>2614</v>
      </c>
      <c r="M45" s="34">
        <v>57</v>
      </c>
      <c r="N45" s="35">
        <v>34</v>
      </c>
    </row>
    <row r="46" spans="1:14" ht="15.95" customHeight="1" thickBot="1" x14ac:dyDescent="0.3">
      <c r="E46" s="38">
        <v>43</v>
      </c>
      <c r="F46" s="38" t="s">
        <v>160</v>
      </c>
      <c r="G46" s="31">
        <v>2200</v>
      </c>
      <c r="H46" s="31">
        <v>4823</v>
      </c>
      <c r="I46" s="31">
        <v>4013</v>
      </c>
      <c r="J46" s="32">
        <v>2556</v>
      </c>
      <c r="K46" s="32">
        <v>2815</v>
      </c>
      <c r="L46" s="32">
        <v>4547</v>
      </c>
      <c r="M46" s="39">
        <v>77</v>
      </c>
      <c r="N46" s="40">
        <v>67</v>
      </c>
    </row>
    <row r="47" spans="1:14" ht="15.95" customHeight="1" thickBot="1" x14ac:dyDescent="0.3">
      <c r="E47" s="30">
        <v>44</v>
      </c>
      <c r="F47" s="30" t="s">
        <v>161</v>
      </c>
      <c r="G47" s="31">
        <v>2393</v>
      </c>
      <c r="H47" s="31">
        <v>3824</v>
      </c>
      <c r="I47" s="31">
        <v>5020</v>
      </c>
      <c r="J47" s="32">
        <v>1539</v>
      </c>
      <c r="K47" s="32">
        <v>1051</v>
      </c>
      <c r="L47" s="32">
        <v>1296</v>
      </c>
      <c r="M47" s="34">
        <v>100</v>
      </c>
      <c r="N47" s="35">
        <v>69</v>
      </c>
    </row>
    <row r="48" spans="1:14" ht="15.95" customHeight="1" thickBot="1" x14ac:dyDescent="0.3">
      <c r="E48" s="38">
        <v>45</v>
      </c>
      <c r="F48" s="38" t="s">
        <v>162</v>
      </c>
      <c r="G48" s="31">
        <v>4748</v>
      </c>
      <c r="H48" s="31">
        <v>1876</v>
      </c>
      <c r="I48" s="31">
        <v>5130</v>
      </c>
      <c r="J48" s="32">
        <v>5317</v>
      </c>
      <c r="K48" s="32">
        <v>4098</v>
      </c>
      <c r="L48" s="32">
        <v>237</v>
      </c>
      <c r="M48" s="39">
        <v>72</v>
      </c>
      <c r="N48" s="40">
        <v>42</v>
      </c>
    </row>
    <row r="49" spans="5:14" ht="15.95" customHeight="1" thickBot="1" x14ac:dyDescent="0.3">
      <c r="E49" s="30">
        <v>46</v>
      </c>
      <c r="F49" s="30" t="s">
        <v>163</v>
      </c>
      <c r="G49" s="31">
        <v>4265</v>
      </c>
      <c r="H49" s="31">
        <v>5898</v>
      </c>
      <c r="I49" s="31">
        <v>5180</v>
      </c>
      <c r="J49" s="32">
        <v>4901</v>
      </c>
      <c r="K49" s="32">
        <v>900</v>
      </c>
      <c r="L49" s="32">
        <v>4083</v>
      </c>
      <c r="M49" s="34">
        <v>29</v>
      </c>
      <c r="N49" s="35">
        <v>20</v>
      </c>
    </row>
    <row r="50" spans="5:14" ht="15.95" customHeight="1" thickBot="1" x14ac:dyDescent="0.3">
      <c r="E50" s="38">
        <v>47</v>
      </c>
      <c r="F50" s="38" t="s">
        <v>164</v>
      </c>
      <c r="G50" s="31">
        <v>4902</v>
      </c>
      <c r="H50" s="31">
        <v>4992</v>
      </c>
      <c r="I50" s="31">
        <v>3489</v>
      </c>
      <c r="J50" s="32">
        <v>1398</v>
      </c>
      <c r="K50" s="32">
        <v>4965</v>
      </c>
      <c r="L50" s="32">
        <v>1102</v>
      </c>
      <c r="M50" s="39">
        <v>55</v>
      </c>
      <c r="N50" s="40">
        <v>40</v>
      </c>
    </row>
    <row r="51" spans="5:14" ht="15.95" customHeight="1" thickBot="1" x14ac:dyDescent="0.3">
      <c r="E51" s="30">
        <v>48</v>
      </c>
      <c r="F51" s="30" t="s">
        <v>165</v>
      </c>
      <c r="G51" s="31">
        <v>5022</v>
      </c>
      <c r="H51" s="31">
        <v>5063</v>
      </c>
      <c r="I51" s="31">
        <v>2172</v>
      </c>
      <c r="J51" s="32">
        <v>4243</v>
      </c>
      <c r="K51" s="32">
        <v>2815</v>
      </c>
      <c r="L51" s="32">
        <v>4075</v>
      </c>
      <c r="M51" s="34">
        <v>49</v>
      </c>
      <c r="N51" s="35">
        <v>79</v>
      </c>
    </row>
    <row r="52" spans="5:14" ht="15.95" customHeight="1" thickBot="1" x14ac:dyDescent="0.3">
      <c r="E52" s="38">
        <v>49</v>
      </c>
      <c r="F52" s="38" t="s">
        <v>166</v>
      </c>
      <c r="G52" s="31">
        <v>4847</v>
      </c>
      <c r="H52" s="31">
        <v>342</v>
      </c>
      <c r="I52" s="31">
        <v>5410</v>
      </c>
      <c r="J52" s="32">
        <v>1553</v>
      </c>
      <c r="K52" s="32">
        <v>2614</v>
      </c>
      <c r="L52" s="32">
        <v>2386</v>
      </c>
      <c r="M52" s="39">
        <v>42</v>
      </c>
      <c r="N52" s="40">
        <v>80</v>
      </c>
    </row>
    <row r="53" spans="5:14" ht="15.95" customHeight="1" thickBot="1" x14ac:dyDescent="0.3">
      <c r="E53" s="30">
        <v>50</v>
      </c>
      <c r="F53" s="30" t="s">
        <v>167</v>
      </c>
      <c r="G53" s="31">
        <v>179</v>
      </c>
      <c r="H53" s="31">
        <v>1758</v>
      </c>
      <c r="I53" s="31">
        <v>120</v>
      </c>
      <c r="J53" s="32">
        <v>4533</v>
      </c>
      <c r="K53" s="32">
        <v>2200</v>
      </c>
      <c r="L53" s="32">
        <v>4073</v>
      </c>
      <c r="M53" s="34">
        <v>92</v>
      </c>
      <c r="N53" s="35">
        <v>84</v>
      </c>
    </row>
    <row r="54" spans="5:14" ht="15.95" customHeight="1" thickBot="1" x14ac:dyDescent="0.3">
      <c r="E54" s="38">
        <v>51</v>
      </c>
      <c r="F54" s="38" t="s">
        <v>168</v>
      </c>
      <c r="G54" s="31">
        <v>2252</v>
      </c>
      <c r="H54" s="31">
        <v>5409</v>
      </c>
      <c r="I54" s="31">
        <v>4823</v>
      </c>
      <c r="J54" s="32">
        <v>6167</v>
      </c>
      <c r="K54" s="32">
        <v>2187</v>
      </c>
      <c r="L54" s="32">
        <v>4504</v>
      </c>
      <c r="M54" s="39">
        <v>64</v>
      </c>
      <c r="N54" s="40">
        <v>56</v>
      </c>
    </row>
    <row r="55" spans="5:14" ht="15.95" customHeight="1" thickBot="1" x14ac:dyDescent="0.3">
      <c r="E55" s="30">
        <v>52</v>
      </c>
      <c r="F55" s="30" t="s">
        <v>169</v>
      </c>
      <c r="G55" s="31">
        <v>4451</v>
      </c>
      <c r="H55" s="31">
        <v>3490</v>
      </c>
      <c r="I55" s="31">
        <v>1369</v>
      </c>
      <c r="J55" s="32">
        <v>4074</v>
      </c>
      <c r="K55" s="32">
        <v>2556</v>
      </c>
      <c r="L55" s="32">
        <v>343</v>
      </c>
      <c r="M55" s="34">
        <v>94</v>
      </c>
      <c r="N55" s="35">
        <v>68</v>
      </c>
    </row>
    <row r="56" spans="5:14" ht="15.95" customHeight="1" thickBot="1" x14ac:dyDescent="0.3">
      <c r="E56" s="38">
        <v>53</v>
      </c>
      <c r="F56" s="38" t="s">
        <v>170</v>
      </c>
      <c r="G56" s="31">
        <v>4267</v>
      </c>
      <c r="H56" s="31">
        <v>6222</v>
      </c>
      <c r="I56" s="31">
        <v>5327</v>
      </c>
      <c r="J56" s="32">
        <v>5777</v>
      </c>
      <c r="K56" s="32">
        <v>3976</v>
      </c>
      <c r="L56" s="32">
        <v>4582</v>
      </c>
      <c r="M56" s="39">
        <v>37</v>
      </c>
      <c r="N56" s="40">
        <v>32</v>
      </c>
    </row>
    <row r="57" spans="5:14" ht="15.95" customHeight="1" thickBot="1" x14ac:dyDescent="0.3">
      <c r="E57" s="30">
        <v>54</v>
      </c>
      <c r="F57" s="30" t="s">
        <v>171</v>
      </c>
      <c r="G57" s="31">
        <v>283</v>
      </c>
      <c r="H57" s="31">
        <v>2172</v>
      </c>
      <c r="I57" s="31">
        <v>4547</v>
      </c>
      <c r="J57" s="32">
        <v>1287</v>
      </c>
      <c r="K57" s="32">
        <v>5410</v>
      </c>
      <c r="L57" s="32">
        <v>3824</v>
      </c>
      <c r="M57" s="34">
        <v>69</v>
      </c>
      <c r="N57" s="35">
        <v>64</v>
      </c>
    </row>
    <row r="58" spans="5:14" ht="15.95" customHeight="1" thickBot="1" x14ac:dyDescent="0.3">
      <c r="E58" s="38">
        <v>55</v>
      </c>
      <c r="F58" s="38" t="s">
        <v>172</v>
      </c>
      <c r="G58" s="31">
        <v>4847</v>
      </c>
      <c r="H58" s="31">
        <v>237</v>
      </c>
      <c r="I58" s="31">
        <v>5180</v>
      </c>
      <c r="J58" s="32">
        <v>4902</v>
      </c>
      <c r="K58" s="32">
        <v>4073</v>
      </c>
      <c r="L58" s="32">
        <v>5022</v>
      </c>
      <c r="M58" s="39">
        <v>25</v>
      </c>
      <c r="N58" s="40">
        <v>64</v>
      </c>
    </row>
    <row r="59" spans="5:14" ht="15.95" customHeight="1" thickBot="1" x14ac:dyDescent="0.3">
      <c r="E59" s="30">
        <v>56</v>
      </c>
      <c r="F59" s="30" t="s">
        <v>173</v>
      </c>
      <c r="G59" s="31">
        <v>2815</v>
      </c>
      <c r="H59" s="31">
        <v>4504</v>
      </c>
      <c r="I59" s="31">
        <v>1553</v>
      </c>
      <c r="J59" s="32">
        <v>120</v>
      </c>
      <c r="K59" s="32">
        <v>2393</v>
      </c>
      <c r="L59" s="32">
        <v>2187</v>
      </c>
      <c r="M59" s="34">
        <v>77</v>
      </c>
      <c r="N59" s="35">
        <v>114</v>
      </c>
    </row>
    <row r="60" spans="5:14" ht="15.95" customHeight="1" thickBot="1" x14ac:dyDescent="0.3">
      <c r="E60" s="38">
        <v>57</v>
      </c>
      <c r="F60" s="38" t="s">
        <v>174</v>
      </c>
      <c r="G60" s="31">
        <v>2386</v>
      </c>
      <c r="H60" s="31">
        <v>179</v>
      </c>
      <c r="I60" s="31">
        <v>1539</v>
      </c>
      <c r="J60" s="32">
        <v>4074</v>
      </c>
      <c r="K60" s="32">
        <v>4083</v>
      </c>
      <c r="L60" s="32">
        <v>2252</v>
      </c>
      <c r="M60" s="39">
        <v>98</v>
      </c>
      <c r="N60" s="40">
        <v>61</v>
      </c>
    </row>
    <row r="61" spans="5:14" ht="15.95" customHeight="1" thickBot="1" x14ac:dyDescent="0.3">
      <c r="E61" s="30">
        <v>58</v>
      </c>
      <c r="F61" s="30" t="s">
        <v>175</v>
      </c>
      <c r="G61" s="31">
        <v>4748</v>
      </c>
      <c r="H61" s="31">
        <v>4823</v>
      </c>
      <c r="I61" s="31">
        <v>6222</v>
      </c>
      <c r="J61" s="32">
        <v>1398</v>
      </c>
      <c r="K61" s="32">
        <v>5063</v>
      </c>
      <c r="L61" s="32">
        <v>5898</v>
      </c>
      <c r="M61" s="34">
        <v>20</v>
      </c>
      <c r="N61" s="35">
        <v>50</v>
      </c>
    </row>
    <row r="62" spans="5:14" ht="15.95" customHeight="1" thickBot="1" x14ac:dyDescent="0.3">
      <c r="E62" s="38">
        <v>59</v>
      </c>
      <c r="F62" s="38" t="s">
        <v>176</v>
      </c>
      <c r="G62" s="31">
        <v>1758</v>
      </c>
      <c r="H62" s="31">
        <v>4075</v>
      </c>
      <c r="I62" s="31">
        <v>1102</v>
      </c>
      <c r="J62" s="32">
        <v>342</v>
      </c>
      <c r="K62" s="32">
        <v>2556</v>
      </c>
      <c r="L62" s="32">
        <v>4098</v>
      </c>
      <c r="M62" s="39">
        <v>82</v>
      </c>
      <c r="N62" s="40">
        <v>47</v>
      </c>
    </row>
    <row r="63" spans="5:14" ht="15.95" customHeight="1" thickBot="1" x14ac:dyDescent="0.3">
      <c r="E63" s="30">
        <v>60</v>
      </c>
      <c r="F63" s="30" t="s">
        <v>177</v>
      </c>
      <c r="G63" s="31">
        <v>6167</v>
      </c>
      <c r="H63" s="31">
        <v>4265</v>
      </c>
      <c r="I63" s="31">
        <v>4243</v>
      </c>
      <c r="J63" s="32">
        <v>5327</v>
      </c>
      <c r="K63" s="32">
        <v>3489</v>
      </c>
      <c r="L63" s="32">
        <v>1876</v>
      </c>
      <c r="M63" s="34">
        <v>52</v>
      </c>
      <c r="N63" s="35">
        <v>72</v>
      </c>
    </row>
    <row r="64" spans="5:14" ht="15.95" customHeight="1" thickBot="1" x14ac:dyDescent="0.3">
      <c r="E64" s="38">
        <v>61</v>
      </c>
      <c r="F64" s="38" t="s">
        <v>178</v>
      </c>
      <c r="G64" s="31">
        <v>3976</v>
      </c>
      <c r="H64" s="31">
        <v>5409</v>
      </c>
      <c r="I64" s="31">
        <v>4451</v>
      </c>
      <c r="J64" s="32">
        <v>5317</v>
      </c>
      <c r="K64" s="32">
        <v>283</v>
      </c>
      <c r="L64" s="32">
        <v>900</v>
      </c>
      <c r="M64" s="39">
        <v>50</v>
      </c>
      <c r="N64" s="40">
        <v>37</v>
      </c>
    </row>
    <row r="65" spans="5:14" ht="15.95" customHeight="1" thickBot="1" x14ac:dyDescent="0.3">
      <c r="E65" s="30">
        <v>62</v>
      </c>
      <c r="F65" s="30" t="s">
        <v>179</v>
      </c>
      <c r="G65" s="31">
        <v>5777</v>
      </c>
      <c r="H65" s="31">
        <v>5020</v>
      </c>
      <c r="I65" s="31">
        <v>5130</v>
      </c>
      <c r="J65" s="32">
        <v>3490</v>
      </c>
      <c r="K65" s="32">
        <v>1287</v>
      </c>
      <c r="L65" s="32">
        <v>4965</v>
      </c>
      <c r="M65" s="34">
        <v>45</v>
      </c>
      <c r="N65" s="35">
        <v>91</v>
      </c>
    </row>
    <row r="66" spans="5:14" ht="15.95" customHeight="1" thickBot="1" x14ac:dyDescent="0.3">
      <c r="E66" s="38">
        <v>63</v>
      </c>
      <c r="F66" s="38" t="s">
        <v>180</v>
      </c>
      <c r="G66" s="31">
        <v>4582</v>
      </c>
      <c r="H66" s="31">
        <v>1296</v>
      </c>
      <c r="I66" s="31">
        <v>2614</v>
      </c>
      <c r="J66" s="32">
        <v>2200</v>
      </c>
      <c r="K66" s="32">
        <v>4992</v>
      </c>
      <c r="L66" s="32">
        <v>343</v>
      </c>
      <c r="M66" s="39">
        <v>77</v>
      </c>
      <c r="N66" s="40">
        <v>76</v>
      </c>
    </row>
    <row r="67" spans="5:14" ht="15.95" customHeight="1" thickBot="1" x14ac:dyDescent="0.3">
      <c r="E67" s="30">
        <v>64</v>
      </c>
      <c r="F67" s="30" t="s">
        <v>181</v>
      </c>
      <c r="G67" s="31">
        <v>4901</v>
      </c>
      <c r="H67" s="31">
        <v>4013</v>
      </c>
      <c r="I67" s="31">
        <v>1051</v>
      </c>
      <c r="J67" s="32">
        <v>1369</v>
      </c>
      <c r="K67" s="32">
        <v>4267</v>
      </c>
      <c r="L67" s="32">
        <v>4533</v>
      </c>
      <c r="M67" s="34">
        <v>25</v>
      </c>
      <c r="N67" s="35">
        <v>50</v>
      </c>
    </row>
    <row r="68" spans="5:14" ht="15.95" customHeight="1" thickBot="1" x14ac:dyDescent="0.3">
      <c r="E68" s="38">
        <v>65</v>
      </c>
      <c r="F68" s="38" t="s">
        <v>182</v>
      </c>
      <c r="G68" s="31">
        <v>3824</v>
      </c>
      <c r="H68" s="31">
        <v>1102</v>
      </c>
      <c r="I68" s="31">
        <v>4083</v>
      </c>
      <c r="J68" s="32">
        <v>6222</v>
      </c>
      <c r="K68" s="32">
        <v>237</v>
      </c>
      <c r="L68" s="32">
        <v>6167</v>
      </c>
      <c r="M68" s="39">
        <v>95</v>
      </c>
      <c r="N68" s="40">
        <v>50</v>
      </c>
    </row>
    <row r="69" spans="5:14" ht="15.95" customHeight="1" thickBot="1" x14ac:dyDescent="0.3">
      <c r="E69" s="30">
        <v>66</v>
      </c>
      <c r="F69" s="30" t="s">
        <v>183</v>
      </c>
      <c r="G69" s="31">
        <v>283</v>
      </c>
      <c r="H69" s="31">
        <v>5898</v>
      </c>
      <c r="I69" s="31">
        <v>3489</v>
      </c>
      <c r="J69" s="32">
        <v>1758</v>
      </c>
      <c r="K69" s="32">
        <v>4847</v>
      </c>
      <c r="L69" s="32">
        <v>5063</v>
      </c>
      <c r="M69" s="34">
        <v>74</v>
      </c>
      <c r="N69" s="35">
        <v>50</v>
      </c>
    </row>
    <row r="70" spans="5:14" ht="15.95" customHeight="1" thickBot="1" x14ac:dyDescent="0.3">
      <c r="E70" s="38">
        <v>67</v>
      </c>
      <c r="F70" s="38" t="s">
        <v>184</v>
      </c>
      <c r="G70" s="31">
        <v>1539</v>
      </c>
      <c r="H70" s="31">
        <v>900</v>
      </c>
      <c r="I70" s="31">
        <v>3490</v>
      </c>
      <c r="J70" s="32">
        <v>4075</v>
      </c>
      <c r="K70" s="32">
        <v>1553</v>
      </c>
      <c r="L70" s="32">
        <v>4748</v>
      </c>
      <c r="M70" s="39">
        <v>77</v>
      </c>
      <c r="N70" s="40">
        <v>65</v>
      </c>
    </row>
    <row r="71" spans="5:14" ht="15.95" customHeight="1" thickBot="1" x14ac:dyDescent="0.3">
      <c r="E71" s="30">
        <v>68</v>
      </c>
      <c r="F71" s="30" t="s">
        <v>185</v>
      </c>
      <c r="G71" s="31">
        <v>4582</v>
      </c>
      <c r="H71" s="31">
        <v>4074</v>
      </c>
      <c r="I71" s="31">
        <v>4073</v>
      </c>
      <c r="J71" s="32">
        <v>4265</v>
      </c>
      <c r="K71" s="32">
        <v>4965</v>
      </c>
      <c r="L71" s="32">
        <v>2172</v>
      </c>
      <c r="M71" s="34">
        <v>53</v>
      </c>
      <c r="N71" s="35">
        <v>68</v>
      </c>
    </row>
    <row r="72" spans="5:14" ht="15.95" customHeight="1" thickBot="1" x14ac:dyDescent="0.3">
      <c r="E72" s="38">
        <v>69</v>
      </c>
      <c r="F72" s="38" t="s">
        <v>186</v>
      </c>
      <c r="G72" s="31">
        <v>1296</v>
      </c>
      <c r="H72" s="31">
        <v>342</v>
      </c>
      <c r="I72" s="31">
        <v>3976</v>
      </c>
      <c r="J72" s="32">
        <v>2252</v>
      </c>
      <c r="K72" s="32">
        <v>4451</v>
      </c>
      <c r="L72" s="32">
        <v>5022</v>
      </c>
      <c r="M72" s="39">
        <v>64</v>
      </c>
      <c r="N72" s="40">
        <v>94</v>
      </c>
    </row>
    <row r="73" spans="5:14" ht="15.95" customHeight="1" thickBot="1" x14ac:dyDescent="0.3">
      <c r="E73" s="30">
        <v>70</v>
      </c>
      <c r="F73" s="30" t="s">
        <v>187</v>
      </c>
      <c r="G73" s="31">
        <v>2200</v>
      </c>
      <c r="H73" s="31">
        <v>4243</v>
      </c>
      <c r="I73" s="31">
        <v>4902</v>
      </c>
      <c r="J73" s="32">
        <v>2393</v>
      </c>
      <c r="K73" s="32">
        <v>5130</v>
      </c>
      <c r="L73" s="32">
        <v>1369</v>
      </c>
      <c r="M73" s="34">
        <v>82</v>
      </c>
      <c r="N73" s="35">
        <v>70</v>
      </c>
    </row>
    <row r="74" spans="5:14" ht="15.95" customHeight="1" thickBot="1" x14ac:dyDescent="0.3">
      <c r="E74" s="38">
        <v>71</v>
      </c>
      <c r="F74" s="38" t="s">
        <v>188</v>
      </c>
      <c r="G74" s="31">
        <v>2815</v>
      </c>
      <c r="H74" s="31">
        <v>5409</v>
      </c>
      <c r="I74" s="31">
        <v>1876</v>
      </c>
      <c r="J74" s="32">
        <v>5777</v>
      </c>
      <c r="K74" s="33">
        <v>5180</v>
      </c>
      <c r="L74" s="32">
        <v>2386</v>
      </c>
      <c r="M74" s="39">
        <v>103</v>
      </c>
      <c r="N74" s="40">
        <v>55</v>
      </c>
    </row>
    <row r="75" spans="5:14" ht="15.95" customHeight="1" thickBot="1" x14ac:dyDescent="0.3">
      <c r="E75" s="30">
        <v>72</v>
      </c>
      <c r="F75" s="30" t="s">
        <v>189</v>
      </c>
      <c r="G75" s="31">
        <v>4992</v>
      </c>
      <c r="H75" s="31">
        <v>2556</v>
      </c>
      <c r="I75" s="31">
        <v>5317</v>
      </c>
      <c r="J75" s="32">
        <v>4504</v>
      </c>
      <c r="K75" s="32">
        <v>179</v>
      </c>
      <c r="L75" s="32">
        <v>5410</v>
      </c>
      <c r="M75" s="34">
        <v>54</v>
      </c>
      <c r="N75" s="35">
        <v>70</v>
      </c>
    </row>
    <row r="76" spans="5:14" ht="15.95" customHeight="1" thickBot="1" x14ac:dyDescent="0.3">
      <c r="E76" s="38">
        <v>73</v>
      </c>
      <c r="F76" s="38" t="s">
        <v>190</v>
      </c>
      <c r="G76" s="31">
        <v>4533</v>
      </c>
      <c r="H76" s="31">
        <v>343</v>
      </c>
      <c r="I76" s="31">
        <v>4013</v>
      </c>
      <c r="J76" s="32">
        <v>2187</v>
      </c>
      <c r="K76" s="32">
        <v>5327</v>
      </c>
      <c r="L76" s="32">
        <v>5020</v>
      </c>
      <c r="M76" s="39">
        <v>95</v>
      </c>
      <c r="N76" s="40">
        <v>44</v>
      </c>
    </row>
    <row r="77" spans="5:14" ht="15.95" customHeight="1" thickBot="1" x14ac:dyDescent="0.3">
      <c r="E77" s="30">
        <v>74</v>
      </c>
      <c r="F77" s="30" t="s">
        <v>191</v>
      </c>
      <c r="G77" s="31">
        <v>4267</v>
      </c>
      <c r="H77" s="31">
        <v>4901</v>
      </c>
      <c r="I77" s="31">
        <v>1398</v>
      </c>
      <c r="J77" s="32">
        <v>4098</v>
      </c>
      <c r="K77" s="32">
        <v>4547</v>
      </c>
      <c r="L77" s="32">
        <v>2614</v>
      </c>
      <c r="M77" s="34">
        <v>40</v>
      </c>
      <c r="N77" s="35">
        <v>67</v>
      </c>
    </row>
    <row r="78" spans="5:14" ht="15.95" customHeight="1" thickBot="1" x14ac:dyDescent="0.3">
      <c r="E78" s="38">
        <v>75</v>
      </c>
      <c r="F78" s="38" t="s">
        <v>192</v>
      </c>
      <c r="G78" s="31">
        <v>1287</v>
      </c>
      <c r="H78" s="31">
        <v>1051</v>
      </c>
      <c r="I78" s="31">
        <v>4582</v>
      </c>
      <c r="J78" s="32">
        <v>120</v>
      </c>
      <c r="K78" s="32">
        <v>4823</v>
      </c>
      <c r="L78" s="32">
        <v>1102</v>
      </c>
      <c r="M78" s="39">
        <v>63</v>
      </c>
      <c r="N78" s="40">
        <v>105</v>
      </c>
    </row>
    <row r="79" spans="5:14" ht="15.95" customHeight="1" thickBot="1" x14ac:dyDescent="0.3">
      <c r="E79" s="30">
        <v>76</v>
      </c>
      <c r="F79" s="30" t="s">
        <v>193</v>
      </c>
      <c r="G79" s="31">
        <v>2252</v>
      </c>
      <c r="H79" s="31">
        <v>5180</v>
      </c>
      <c r="I79" s="31">
        <v>6222</v>
      </c>
      <c r="J79" s="32">
        <v>1758</v>
      </c>
      <c r="K79" s="32">
        <v>2172</v>
      </c>
      <c r="L79" s="32">
        <v>2393</v>
      </c>
      <c r="M79" s="34">
        <v>64</v>
      </c>
      <c r="N79" s="35">
        <v>92</v>
      </c>
    </row>
    <row r="80" spans="5:14" ht="15.95" customHeight="1" thickBot="1" x14ac:dyDescent="0.3">
      <c r="E80" s="38">
        <v>77</v>
      </c>
      <c r="F80" s="38" t="s">
        <v>194</v>
      </c>
      <c r="G80" s="31">
        <v>6167</v>
      </c>
      <c r="H80" s="31">
        <v>5777</v>
      </c>
      <c r="I80" s="31">
        <v>2200</v>
      </c>
      <c r="J80" s="32">
        <v>4075</v>
      </c>
      <c r="K80" s="32">
        <v>4902</v>
      </c>
      <c r="L80" s="32">
        <v>5317</v>
      </c>
      <c r="M80" s="39">
        <v>84</v>
      </c>
      <c r="N80" s="40">
        <v>67</v>
      </c>
    </row>
    <row r="81" spans="5:14" ht="15.95" customHeight="1" thickBot="1" x14ac:dyDescent="0.3">
      <c r="E81" s="30">
        <v>78</v>
      </c>
      <c r="F81" s="30" t="s">
        <v>195</v>
      </c>
      <c r="G81" s="31">
        <v>5410</v>
      </c>
      <c r="H81" s="31">
        <v>4748</v>
      </c>
      <c r="I81" s="31">
        <v>4083</v>
      </c>
      <c r="J81" s="32">
        <v>1296</v>
      </c>
      <c r="K81" s="32">
        <v>4013</v>
      </c>
      <c r="L81" s="32">
        <v>4451</v>
      </c>
      <c r="M81" s="34">
        <v>57</v>
      </c>
      <c r="N81" s="35">
        <v>84</v>
      </c>
    </row>
    <row r="82" spans="5:14" ht="15.95" customHeight="1" thickBot="1" x14ac:dyDescent="0.3">
      <c r="E82" s="38">
        <v>79</v>
      </c>
      <c r="F82" s="38" t="s">
        <v>196</v>
      </c>
      <c r="G82" s="31">
        <v>4547</v>
      </c>
      <c r="H82" s="31">
        <v>4504</v>
      </c>
      <c r="I82" s="31">
        <v>2386</v>
      </c>
      <c r="J82" s="32">
        <v>1369</v>
      </c>
      <c r="K82" s="32">
        <v>4098</v>
      </c>
      <c r="L82" s="32">
        <v>900</v>
      </c>
      <c r="M82" s="39">
        <v>76</v>
      </c>
      <c r="N82" s="40">
        <v>37</v>
      </c>
    </row>
    <row r="83" spans="5:14" ht="15.95" customHeight="1" thickBot="1" x14ac:dyDescent="0.3">
      <c r="E83" s="30">
        <v>80</v>
      </c>
      <c r="F83" s="30" t="s">
        <v>197</v>
      </c>
      <c r="G83" s="31">
        <v>4243</v>
      </c>
      <c r="H83" s="31">
        <v>343</v>
      </c>
      <c r="I83" s="31">
        <v>4823</v>
      </c>
      <c r="J83" s="32">
        <v>4847</v>
      </c>
      <c r="K83" s="32">
        <v>3976</v>
      </c>
      <c r="L83" s="32">
        <v>4965</v>
      </c>
      <c r="M83" s="34">
        <v>72</v>
      </c>
      <c r="N83" s="35">
        <v>50</v>
      </c>
    </row>
    <row r="84" spans="5:14" ht="15.95" customHeight="1" thickBot="1" x14ac:dyDescent="0.3">
      <c r="E84" s="38">
        <v>81</v>
      </c>
      <c r="F84" s="38" t="s">
        <v>198</v>
      </c>
      <c r="G84" s="31">
        <v>1287</v>
      </c>
      <c r="H84" s="31">
        <v>5022</v>
      </c>
      <c r="I84" s="31">
        <v>1553</v>
      </c>
      <c r="J84" s="32">
        <v>5409</v>
      </c>
      <c r="K84" s="32">
        <v>1398</v>
      </c>
      <c r="L84" s="32">
        <v>4533</v>
      </c>
      <c r="M84" s="39">
        <v>62</v>
      </c>
      <c r="N84" s="40">
        <v>29</v>
      </c>
    </row>
    <row r="85" spans="5:14" ht="15.95" customHeight="1" thickBot="1" x14ac:dyDescent="0.3">
      <c r="E85" s="30">
        <v>82</v>
      </c>
      <c r="F85" s="30" t="s">
        <v>199</v>
      </c>
      <c r="G85" s="31">
        <v>120</v>
      </c>
      <c r="H85" s="31">
        <v>4267</v>
      </c>
      <c r="I85" s="31">
        <v>2556</v>
      </c>
      <c r="J85" s="32">
        <v>4074</v>
      </c>
      <c r="K85" s="32">
        <v>3489</v>
      </c>
      <c r="L85" s="32">
        <v>1539</v>
      </c>
      <c r="M85" s="34">
        <v>80</v>
      </c>
      <c r="N85" s="35">
        <v>76</v>
      </c>
    </row>
    <row r="86" spans="5:14" ht="15.95" customHeight="1" thickBot="1" x14ac:dyDescent="0.3">
      <c r="E86" s="38">
        <v>83</v>
      </c>
      <c r="F86" s="38" t="s">
        <v>200</v>
      </c>
      <c r="G86" s="31">
        <v>5063</v>
      </c>
      <c r="H86" s="31">
        <v>3490</v>
      </c>
      <c r="I86" s="31">
        <v>4265</v>
      </c>
      <c r="J86" s="32">
        <v>3824</v>
      </c>
      <c r="K86" s="32">
        <v>4992</v>
      </c>
      <c r="L86" s="32">
        <v>1051</v>
      </c>
      <c r="M86" s="39">
        <v>105</v>
      </c>
      <c r="N86" s="40">
        <v>70</v>
      </c>
    </row>
    <row r="87" spans="5:14" ht="15.95" customHeight="1" thickBot="1" x14ac:dyDescent="0.3">
      <c r="E87" s="30">
        <v>84</v>
      </c>
      <c r="F87" s="30" t="s">
        <v>201</v>
      </c>
      <c r="G87" s="31">
        <v>5020</v>
      </c>
      <c r="H87" s="31">
        <v>4073</v>
      </c>
      <c r="I87" s="31">
        <v>283</v>
      </c>
      <c r="J87" s="32">
        <v>1876</v>
      </c>
      <c r="K87" s="32">
        <v>342</v>
      </c>
      <c r="L87" s="32">
        <v>4901</v>
      </c>
      <c r="M87" s="34">
        <v>79</v>
      </c>
      <c r="N87" s="35">
        <v>84</v>
      </c>
    </row>
    <row r="88" spans="5:14" ht="15.95" customHeight="1" thickBot="1" x14ac:dyDescent="0.3">
      <c r="E88" s="38">
        <v>85</v>
      </c>
      <c r="F88" s="38" t="s">
        <v>202</v>
      </c>
      <c r="G88" s="31">
        <v>5327</v>
      </c>
      <c r="H88" s="31">
        <v>2815</v>
      </c>
      <c r="I88" s="31">
        <v>2614</v>
      </c>
      <c r="J88" s="32">
        <v>179</v>
      </c>
      <c r="K88" s="32">
        <v>237</v>
      </c>
      <c r="L88" s="32">
        <v>5898</v>
      </c>
      <c r="M88" s="39">
        <v>71</v>
      </c>
      <c r="N88" s="40">
        <v>100</v>
      </c>
    </row>
    <row r="89" spans="5:14" ht="15.95" customHeight="1" thickBot="1" x14ac:dyDescent="0.3">
      <c r="E89" s="30">
        <v>86</v>
      </c>
      <c r="F89" s="30" t="s">
        <v>203</v>
      </c>
      <c r="G89" s="31">
        <v>2187</v>
      </c>
      <c r="H89" s="31">
        <v>4823</v>
      </c>
      <c r="I89" s="31">
        <v>4083</v>
      </c>
      <c r="J89" s="32">
        <v>5130</v>
      </c>
      <c r="K89" s="32">
        <v>5410</v>
      </c>
      <c r="L89" s="32">
        <v>1758</v>
      </c>
      <c r="M89" s="34">
        <v>30</v>
      </c>
      <c r="N89" s="35">
        <v>79</v>
      </c>
    </row>
    <row r="92" spans="5:14" ht="15.95" customHeight="1" thickBot="1" x14ac:dyDescent="0.3">
      <c r="E92" s="13" t="s">
        <v>204</v>
      </c>
    </row>
    <row r="93" spans="5:14" ht="30.75" thickBot="1" x14ac:dyDescent="0.3">
      <c r="E93" s="19" t="s">
        <v>5</v>
      </c>
      <c r="F93" s="19" t="s">
        <v>6</v>
      </c>
      <c r="G93" s="19" t="s">
        <v>7</v>
      </c>
      <c r="H93" s="19" t="s">
        <v>8</v>
      </c>
      <c r="I93" s="19" t="s">
        <v>9</v>
      </c>
      <c r="J93" s="19" t="s">
        <v>10</v>
      </c>
      <c r="K93" s="19" t="s">
        <v>11</v>
      </c>
      <c r="L93" s="19" t="s">
        <v>12</v>
      </c>
      <c r="M93" s="19" t="s">
        <v>13</v>
      </c>
      <c r="N93" s="19" t="s">
        <v>14</v>
      </c>
    </row>
    <row r="94" spans="5:14" ht="15.95" customHeight="1" thickBot="1" x14ac:dyDescent="0.3">
      <c r="E94" s="38">
        <v>1</v>
      </c>
      <c r="F94" s="38" t="s">
        <v>205</v>
      </c>
      <c r="G94" s="31">
        <v>4451</v>
      </c>
      <c r="H94" s="31">
        <v>179</v>
      </c>
      <c r="I94" s="31">
        <v>1369</v>
      </c>
      <c r="J94" s="32">
        <v>3490</v>
      </c>
      <c r="K94" s="32">
        <v>2393</v>
      </c>
      <c r="L94" s="32">
        <v>283</v>
      </c>
      <c r="M94" s="39">
        <v>127</v>
      </c>
      <c r="N94" s="40">
        <v>97</v>
      </c>
    </row>
    <row r="95" spans="5:14" ht="15.95" customHeight="1" thickBot="1" x14ac:dyDescent="0.3">
      <c r="E95" s="30">
        <v>2</v>
      </c>
      <c r="F95" s="30" t="s">
        <v>206</v>
      </c>
      <c r="G95" s="31">
        <v>2252</v>
      </c>
      <c r="H95" s="31">
        <v>2172</v>
      </c>
      <c r="I95" s="31">
        <v>237</v>
      </c>
      <c r="J95" s="32">
        <v>120</v>
      </c>
      <c r="K95" s="32">
        <v>2200</v>
      </c>
      <c r="L95" s="32">
        <v>2386</v>
      </c>
      <c r="M95" s="34">
        <v>87</v>
      </c>
      <c r="N95" s="35">
        <v>149</v>
      </c>
    </row>
    <row r="96" spans="5:14" ht="15.95" customHeight="1" thickBot="1" x14ac:dyDescent="0.3">
      <c r="E96" s="38">
        <v>3</v>
      </c>
      <c r="F96" s="38" t="s">
        <v>207</v>
      </c>
      <c r="G96" s="31">
        <v>3824</v>
      </c>
      <c r="H96" s="31">
        <v>1296</v>
      </c>
      <c r="I96" s="31">
        <v>4533</v>
      </c>
      <c r="J96" s="32">
        <v>1102</v>
      </c>
      <c r="K96" s="32">
        <v>4823</v>
      </c>
      <c r="L96" s="32">
        <v>2187</v>
      </c>
      <c r="M96" s="39">
        <v>179</v>
      </c>
      <c r="N96" s="40">
        <v>65</v>
      </c>
    </row>
    <row r="97" spans="5:14" ht="15.95" customHeight="1" thickBot="1" x14ac:dyDescent="0.3">
      <c r="E97" s="30">
        <v>4</v>
      </c>
      <c r="F97" s="30" t="s">
        <v>208</v>
      </c>
      <c r="G97" s="31">
        <v>1876</v>
      </c>
      <c r="H97" s="31">
        <v>1758</v>
      </c>
      <c r="I97" s="31">
        <v>4073</v>
      </c>
      <c r="J97" s="32">
        <v>343</v>
      </c>
      <c r="K97" s="32">
        <v>4547</v>
      </c>
      <c r="L97" s="32">
        <v>2614</v>
      </c>
      <c r="M97" s="34">
        <v>119</v>
      </c>
      <c r="N97" s="35">
        <v>148</v>
      </c>
    </row>
    <row r="98" spans="5:14" ht="15.95" customHeight="1" thickBot="1" x14ac:dyDescent="0.3">
      <c r="E98" s="38">
        <v>5</v>
      </c>
      <c r="F98" s="38" t="s">
        <v>209</v>
      </c>
      <c r="G98" s="31">
        <v>4451</v>
      </c>
      <c r="H98" s="31">
        <v>179</v>
      </c>
      <c r="I98" s="31">
        <v>1369</v>
      </c>
      <c r="J98" s="32">
        <v>3490</v>
      </c>
      <c r="K98" s="32">
        <v>2393</v>
      </c>
      <c r="L98" s="32">
        <v>283</v>
      </c>
      <c r="M98" s="39">
        <v>150</v>
      </c>
      <c r="N98" s="40">
        <v>87</v>
      </c>
    </row>
    <row r="99" spans="5:14" ht="15.95" customHeight="1" thickBot="1" x14ac:dyDescent="0.3">
      <c r="E99" s="30">
        <v>6</v>
      </c>
      <c r="F99" s="30" t="s">
        <v>210</v>
      </c>
      <c r="G99" s="31">
        <v>2252</v>
      </c>
      <c r="H99" s="31">
        <v>2172</v>
      </c>
      <c r="I99" s="31">
        <v>237</v>
      </c>
      <c r="J99" s="32">
        <v>120</v>
      </c>
      <c r="K99" s="32">
        <v>2200</v>
      </c>
      <c r="L99" s="32">
        <v>2386</v>
      </c>
      <c r="M99" s="34">
        <v>72</v>
      </c>
      <c r="N99" s="35">
        <v>102</v>
      </c>
    </row>
    <row r="100" spans="5:14" ht="15.95" customHeight="1" thickBot="1" x14ac:dyDescent="0.3">
      <c r="E100" s="38">
        <v>7</v>
      </c>
      <c r="F100" s="38" t="s">
        <v>211</v>
      </c>
      <c r="G100" s="31">
        <v>3824</v>
      </c>
      <c r="H100" s="31">
        <v>1296</v>
      </c>
      <c r="I100" s="31">
        <v>4533</v>
      </c>
      <c r="J100" s="32">
        <v>1102</v>
      </c>
      <c r="K100" s="32">
        <v>4823</v>
      </c>
      <c r="L100" s="32">
        <v>2187</v>
      </c>
      <c r="M100" s="39">
        <v>99</v>
      </c>
      <c r="N100" s="40">
        <v>40</v>
      </c>
    </row>
    <row r="101" spans="5:14" ht="15.95" customHeight="1" thickBot="1" x14ac:dyDescent="0.3">
      <c r="E101" s="30">
        <v>8</v>
      </c>
      <c r="F101" s="30" t="s">
        <v>212</v>
      </c>
      <c r="G101" s="31">
        <v>1876</v>
      </c>
      <c r="H101" s="31">
        <v>1758</v>
      </c>
      <c r="I101" s="31">
        <v>4073</v>
      </c>
      <c r="J101" s="32">
        <v>343</v>
      </c>
      <c r="K101" s="32">
        <v>4547</v>
      </c>
      <c r="L101" s="32">
        <v>2614</v>
      </c>
      <c r="M101" s="34">
        <v>99</v>
      </c>
      <c r="N101" s="35">
        <v>80</v>
      </c>
    </row>
    <row r="102" spans="5:14" ht="15.95" customHeight="1" thickBot="1" x14ac:dyDescent="0.3">
      <c r="E102" s="38">
        <v>9</v>
      </c>
      <c r="F102" s="38"/>
      <c r="G102" s="31">
        <v>4451</v>
      </c>
      <c r="H102" s="31">
        <v>179</v>
      </c>
      <c r="I102" s="31">
        <v>1369</v>
      </c>
      <c r="J102" s="32">
        <v>3490</v>
      </c>
      <c r="K102" s="32">
        <v>2393</v>
      </c>
      <c r="L102" s="32">
        <v>283</v>
      </c>
      <c r="M102" s="39"/>
      <c r="N102" s="40"/>
    </row>
    <row r="103" spans="5:14" ht="15.95" customHeight="1" thickBot="1" x14ac:dyDescent="0.3">
      <c r="E103" s="30">
        <v>10</v>
      </c>
      <c r="F103" s="30"/>
      <c r="G103" s="31">
        <v>2252</v>
      </c>
      <c r="H103" s="31">
        <v>2172</v>
      </c>
      <c r="I103" s="31">
        <v>237</v>
      </c>
      <c r="J103" s="32">
        <v>120</v>
      </c>
      <c r="K103" s="32">
        <v>2200</v>
      </c>
      <c r="L103" s="32">
        <v>2386</v>
      </c>
      <c r="M103" s="34"/>
      <c r="N103" s="35"/>
    </row>
    <row r="104" spans="5:14" ht="15.95" customHeight="1" thickBot="1" x14ac:dyDescent="0.3">
      <c r="E104" s="38">
        <v>11</v>
      </c>
      <c r="F104" s="38"/>
      <c r="G104" s="31">
        <v>3824</v>
      </c>
      <c r="H104" s="31">
        <v>1296</v>
      </c>
      <c r="I104" s="31">
        <v>4533</v>
      </c>
      <c r="J104" s="32">
        <v>1102</v>
      </c>
      <c r="K104" s="32">
        <v>4823</v>
      </c>
      <c r="L104" s="32">
        <v>2187</v>
      </c>
      <c r="M104" s="39"/>
      <c r="N104" s="40"/>
    </row>
    <row r="105" spans="5:14" ht="15.95" customHeight="1" thickBot="1" x14ac:dyDescent="0.3">
      <c r="E105" s="30">
        <v>12</v>
      </c>
      <c r="F105" s="30" t="s">
        <v>213</v>
      </c>
      <c r="G105" s="31">
        <v>1876</v>
      </c>
      <c r="H105" s="31">
        <v>1758</v>
      </c>
      <c r="I105" s="31">
        <v>4073</v>
      </c>
      <c r="J105" s="32">
        <v>343</v>
      </c>
      <c r="K105" s="32">
        <v>4547</v>
      </c>
      <c r="L105" s="32">
        <v>2614</v>
      </c>
      <c r="M105" s="34">
        <v>86</v>
      </c>
      <c r="N105" s="35">
        <v>99</v>
      </c>
    </row>
    <row r="106" spans="5:14" ht="15.95" customHeight="1" thickBot="1" x14ac:dyDescent="0.3">
      <c r="E106" s="38">
        <v>13</v>
      </c>
      <c r="F106" s="38" t="s">
        <v>214</v>
      </c>
      <c r="G106" s="31">
        <v>4451</v>
      </c>
      <c r="H106" s="31">
        <v>179</v>
      </c>
      <c r="I106" s="31">
        <v>1369</v>
      </c>
      <c r="J106" s="32">
        <v>120</v>
      </c>
      <c r="K106" s="32">
        <v>2200</v>
      </c>
      <c r="L106" s="32">
        <v>2386</v>
      </c>
      <c r="M106" s="39">
        <v>132</v>
      </c>
      <c r="N106" s="40">
        <v>95</v>
      </c>
    </row>
    <row r="107" spans="5:14" ht="15.95" customHeight="1" thickBot="1" x14ac:dyDescent="0.3">
      <c r="E107" s="30">
        <v>14</v>
      </c>
      <c r="F107" s="30" t="s">
        <v>215</v>
      </c>
      <c r="G107" s="31">
        <v>3824</v>
      </c>
      <c r="H107" s="31">
        <v>1296</v>
      </c>
      <c r="I107" s="31">
        <v>4533</v>
      </c>
      <c r="J107" s="32">
        <v>343</v>
      </c>
      <c r="K107" s="32">
        <v>4547</v>
      </c>
      <c r="L107" s="32">
        <v>2614</v>
      </c>
      <c r="M107" s="34">
        <v>62</v>
      </c>
      <c r="N107" s="35">
        <v>99</v>
      </c>
    </row>
    <row r="108" spans="5:14" ht="15.95" customHeight="1" thickBot="1" x14ac:dyDescent="0.3">
      <c r="E108" s="38">
        <v>15</v>
      </c>
      <c r="F108" s="38" t="s">
        <v>216</v>
      </c>
      <c r="G108" s="31">
        <v>4451</v>
      </c>
      <c r="H108" s="31">
        <v>179</v>
      </c>
      <c r="I108" s="31">
        <v>1369</v>
      </c>
      <c r="J108" s="32">
        <v>120</v>
      </c>
      <c r="K108" s="32">
        <v>2200</v>
      </c>
      <c r="L108" s="32">
        <v>2386</v>
      </c>
      <c r="M108" s="39">
        <v>180</v>
      </c>
      <c r="N108" s="40">
        <v>102</v>
      </c>
    </row>
    <row r="109" spans="5:14" ht="15.95" customHeight="1" thickBot="1" x14ac:dyDescent="0.3">
      <c r="E109" s="30">
        <v>16</v>
      </c>
      <c r="F109" s="30" t="s">
        <v>217</v>
      </c>
      <c r="G109" s="31">
        <v>3824</v>
      </c>
      <c r="H109" s="31">
        <v>1296</v>
      </c>
      <c r="I109" s="31">
        <v>4533</v>
      </c>
      <c r="J109" s="32">
        <v>343</v>
      </c>
      <c r="K109" s="32">
        <v>4547</v>
      </c>
      <c r="L109" s="32">
        <v>2614</v>
      </c>
      <c r="M109" s="34">
        <v>89</v>
      </c>
      <c r="N109" s="35">
        <v>94</v>
      </c>
    </row>
    <row r="110" spans="5:14" ht="15.95" customHeight="1" thickBot="1" x14ac:dyDescent="0.3">
      <c r="E110" s="38">
        <v>17</v>
      </c>
      <c r="F110" s="38"/>
      <c r="G110" s="31">
        <v>4451</v>
      </c>
      <c r="H110" s="31">
        <v>179</v>
      </c>
      <c r="I110" s="31">
        <v>1369</v>
      </c>
      <c r="J110" s="32">
        <v>120</v>
      </c>
      <c r="K110" s="32">
        <v>2200</v>
      </c>
      <c r="L110" s="32">
        <v>2386</v>
      </c>
      <c r="M110" s="39"/>
      <c r="N110" s="40"/>
    </row>
    <row r="111" spans="5:14" ht="15.95" customHeight="1" thickBot="1" x14ac:dyDescent="0.3">
      <c r="E111" s="30">
        <v>18</v>
      </c>
      <c r="F111" s="30"/>
      <c r="G111" s="31">
        <v>3824</v>
      </c>
      <c r="H111" s="31">
        <v>1296</v>
      </c>
      <c r="I111" s="31">
        <v>4533</v>
      </c>
      <c r="J111" s="32">
        <v>343</v>
      </c>
      <c r="K111" s="32">
        <v>4547</v>
      </c>
      <c r="L111" s="32">
        <v>2614</v>
      </c>
      <c r="M111" s="34"/>
      <c r="N111" s="35"/>
    </row>
    <row r="112" spans="5:14" ht="15.95" customHeight="1" thickBot="1" x14ac:dyDescent="0.3">
      <c r="E112" s="38">
        <v>19</v>
      </c>
      <c r="F112" s="38" t="s">
        <v>218</v>
      </c>
      <c r="G112" s="31">
        <v>4451</v>
      </c>
      <c r="H112" s="31">
        <v>179</v>
      </c>
      <c r="I112" s="31">
        <v>1369</v>
      </c>
      <c r="J112" s="32">
        <v>343</v>
      </c>
      <c r="K112" s="32">
        <v>4547</v>
      </c>
      <c r="L112" s="32">
        <v>2614</v>
      </c>
      <c r="M112" s="39">
        <v>115</v>
      </c>
      <c r="N112" s="40">
        <v>124</v>
      </c>
    </row>
    <row r="113" spans="5:14" ht="15.95" customHeight="1" thickBot="1" x14ac:dyDescent="0.3">
      <c r="E113" s="30">
        <v>20</v>
      </c>
      <c r="F113" s="30" t="s">
        <v>219</v>
      </c>
      <c r="G113" s="31">
        <v>4451</v>
      </c>
      <c r="H113" s="31">
        <v>179</v>
      </c>
      <c r="I113" s="31">
        <v>1369</v>
      </c>
      <c r="J113" s="32">
        <v>343</v>
      </c>
      <c r="K113" s="32">
        <v>4547</v>
      </c>
      <c r="L113" s="32">
        <v>2614</v>
      </c>
      <c r="M113" s="34">
        <v>105</v>
      </c>
      <c r="N113" s="35">
        <v>61</v>
      </c>
    </row>
    <row r="114" spans="5:14" ht="15.95" customHeight="1" thickBot="1" x14ac:dyDescent="0.3">
      <c r="E114" s="38">
        <v>21</v>
      </c>
      <c r="F114" s="38" t="s">
        <v>220</v>
      </c>
      <c r="G114" s="31">
        <v>4451</v>
      </c>
      <c r="H114" s="31">
        <v>179</v>
      </c>
      <c r="I114" s="31">
        <v>1369</v>
      </c>
      <c r="J114" s="32">
        <v>343</v>
      </c>
      <c r="K114" s="32">
        <v>4547</v>
      </c>
      <c r="L114" s="32">
        <v>2614</v>
      </c>
      <c r="M114" s="39">
        <v>135</v>
      </c>
      <c r="N114" s="40">
        <v>117</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B23"/>
  <sheetViews>
    <sheetView zoomScale="80" zoomScaleNormal="80" workbookViewId="0">
      <selection activeCell="C5" sqref="C5"/>
    </sheetView>
  </sheetViews>
  <sheetFormatPr defaultColWidth="9.140625" defaultRowHeight="18" customHeight="1" x14ac:dyDescent="0.25"/>
  <cols>
    <col min="1" max="1" width="12.5703125" style="58" customWidth="1"/>
    <col min="2" max="2" width="19.85546875" style="58" customWidth="1"/>
    <col min="3" max="7" width="24.85546875" style="58" customWidth="1"/>
    <col min="8" max="8" width="24.85546875" style="90" customWidth="1"/>
    <col min="9" max="10" width="20" style="59" customWidth="1"/>
    <col min="11" max="11" width="11.85546875" style="59" bestFit="1" customWidth="1"/>
    <col min="12" max="17" width="9.140625" style="59"/>
    <col min="18" max="18" width="17.28515625" style="64" customWidth="1"/>
    <col min="19" max="54" width="9.140625" style="59"/>
    <col min="55" max="16384" width="9.140625" style="58"/>
  </cols>
  <sheetData>
    <row r="1" spans="1:54" s="51" customFormat="1" ht="23.25" x14ac:dyDescent="0.35">
      <c r="A1" s="49" t="s">
        <v>229</v>
      </c>
      <c r="B1" s="50" t="s">
        <v>0</v>
      </c>
      <c r="H1" s="52"/>
      <c r="I1" s="53"/>
      <c r="J1" s="53"/>
      <c r="K1" s="53"/>
      <c r="L1" s="53"/>
      <c r="M1" s="53"/>
      <c r="N1" s="53"/>
      <c r="O1" s="53"/>
      <c r="P1" s="53"/>
      <c r="Q1" s="53"/>
      <c r="R1" s="54"/>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row>
    <row r="2" spans="1:54" s="55" customFormat="1" ht="24" thickBot="1" x14ac:dyDescent="0.4">
      <c r="A2" s="49" t="s">
        <v>5</v>
      </c>
      <c r="B2" s="50">
        <v>48</v>
      </c>
      <c r="I2" s="56"/>
      <c r="J2" s="56"/>
      <c r="K2" s="56"/>
      <c r="L2" s="56"/>
      <c r="M2" s="56"/>
      <c r="N2" s="56"/>
      <c r="O2" s="56"/>
      <c r="P2" s="56"/>
      <c r="Q2" s="56"/>
      <c r="R2" s="57" t="s">
        <v>230</v>
      </c>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row>
    <row r="3" spans="1:54" ht="15.75" hidden="1" thickBot="1" x14ac:dyDescent="0.3">
      <c r="C3" s="55">
        <v>1736</v>
      </c>
      <c r="D3" s="55">
        <v>2040</v>
      </c>
      <c r="E3" s="55">
        <v>525</v>
      </c>
      <c r="F3" s="55">
        <v>2451</v>
      </c>
      <c r="G3" s="55">
        <v>3138</v>
      </c>
      <c r="H3" s="55">
        <v>1094</v>
      </c>
      <c r="R3" s="60" t="s">
        <v>0</v>
      </c>
    </row>
    <row r="4" spans="1:54" s="65" customFormat="1" ht="33.75" customHeight="1" thickTop="1" thickBot="1" x14ac:dyDescent="0.3">
      <c r="A4" s="61" t="s">
        <v>5</v>
      </c>
      <c r="B4" s="61" t="s">
        <v>231</v>
      </c>
      <c r="C4" s="62" t="s">
        <v>7</v>
      </c>
      <c r="D4" s="62" t="s">
        <v>8</v>
      </c>
      <c r="E4" s="62" t="s">
        <v>9</v>
      </c>
      <c r="F4" s="63" t="s">
        <v>10</v>
      </c>
      <c r="G4" s="63" t="s">
        <v>11</v>
      </c>
      <c r="H4" s="63" t="s">
        <v>12</v>
      </c>
      <c r="I4" s="62" t="s">
        <v>232</v>
      </c>
      <c r="J4" s="63" t="s">
        <v>233</v>
      </c>
      <c r="K4" s="59"/>
      <c r="L4" s="59"/>
      <c r="M4" s="59"/>
      <c r="N4" s="59"/>
      <c r="O4" s="59"/>
      <c r="P4" s="59"/>
      <c r="Q4" s="59"/>
      <c r="R4" s="64" t="s">
        <v>234</v>
      </c>
      <c r="S4" s="59"/>
      <c r="T4" s="59"/>
      <c r="U4" s="59"/>
      <c r="V4" s="5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59"/>
      <c r="BB4" s="59"/>
    </row>
    <row r="5" spans="1:54" s="67" customFormat="1" ht="18" customHeight="1" thickTop="1" x14ac:dyDescent="0.25">
      <c r="A5" s="66">
        <f>IF($B$1="Practice",B$2,IF($B$1="Qualification",VLOOKUP($B$2,'[1]WIS Schedule'!$C$3:$L$102,10,FALSE),IF($B$1="Elimination",VLOOKUP($B$2,'[1]WIS Schedule'!$C$106:$L$121,10,FALSE),"NONE")))</f>
        <v>0.6166666666666667</v>
      </c>
      <c r="B5" s="61"/>
      <c r="C5" s="62">
        <f>IF($B$1="Practice",B$2,IF($B$1="Qualification",VLOOKUP($B$2,'[1]WIS Schedule'!$C$3:$L$102,2,FALSE),IF($B$1="Elimination",VLOOKUP($B$2,'[1]WIS Schedule'!$C$106:$L$121,2,FALSE),"NONE")))</f>
        <v>1622</v>
      </c>
      <c r="D5" s="62">
        <f>IF($B$1="Practice",B$2,IF($B$1="Qualification",VLOOKUP($B$2,'[1]WIS Schedule'!$C$3:$L$102,3,FALSE),IF($B$1="Elimination",VLOOKUP($B$2,'[1]WIS Schedule'!$C$106:$L$121,3,FALSE),"NONE")))</f>
        <v>2826</v>
      </c>
      <c r="E5" s="62">
        <f>IF($B$1="Practice",B$2,IF($B$1="Qualification",VLOOKUP($B$2,'[1]WIS Schedule'!$C$3:$L$102,4,FALSE),IF($B$1="Elimination",VLOOKUP($B$2,'[1]WIS Schedule'!$C$106:$L$121,4,FALSE),"NONE")))</f>
        <v>4804</v>
      </c>
      <c r="F5" s="63">
        <f>IF($B$1="Practice",B$2,IF($B$1="Qualification",VLOOKUP($B$2,'[1]WIS Schedule'!$C$3:$L$102,5,FALSE),IF($B$1="Elimination",VLOOKUP($B$2,'[1]WIS Schedule'!$C$106:$L$121,5,FALSE),"NONE")))</f>
        <v>1736</v>
      </c>
      <c r="G5" s="63">
        <f>IF($B$1="Practice",B$2,IF($B$1="Qualification",VLOOKUP($B$2,'[1]WIS Schedule'!$C$3:$L$102,6,FALSE),IF($B$1="Elimination",VLOOKUP($B$2,'[1]WIS Schedule'!$C$106:$L$121,6,FALSE),"NONE")))</f>
        <v>93</v>
      </c>
      <c r="H5" s="63">
        <f>IF($B$1="Practice",B$2,IF($B$1="Qualification",VLOOKUP($B$2,'[1]WIS Schedule'!$C$3:$L$102,7,FALSE),IF($B$1="Elimination",VLOOKUP($B$2,'[1]WIS Schedule'!$C$106:$L$121,7,FALSE),"NONE")))</f>
        <v>3596</v>
      </c>
      <c r="I5" s="62" t="s">
        <v>235</v>
      </c>
      <c r="J5" s="63" t="s">
        <v>235</v>
      </c>
      <c r="K5" s="59"/>
      <c r="L5" s="59"/>
      <c r="M5" s="59"/>
      <c r="N5" s="59"/>
      <c r="O5" s="59"/>
      <c r="P5" s="59"/>
      <c r="Q5" s="59"/>
      <c r="R5" s="64"/>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59"/>
      <c r="AZ5" s="59"/>
      <c r="BA5" s="59"/>
      <c r="BB5" s="59"/>
    </row>
    <row r="6" spans="1:54" s="59" customFormat="1" ht="31.5" x14ac:dyDescent="0.25">
      <c r="A6" s="66"/>
      <c r="B6" s="61"/>
      <c r="C6" s="62" t="str">
        <f>VLOOKUP(C5,'[1]WIS Team Info'!$B$3:$E$62,2,FALSE)</f>
        <v>Team Spyder</v>
      </c>
      <c r="D6" s="62" t="str">
        <f>VLOOKUP(D5,'[1]WIS Team Info'!$B$3:$E$62,2,FALSE)</f>
        <v>Wave Robotics</v>
      </c>
      <c r="E6" s="62" t="str">
        <f>VLOOKUP(E5,'[1]WIS Team Info'!$B$3:$E$62,2,FALSE)</f>
        <v>Port PiraTech</v>
      </c>
      <c r="F6" s="63" t="str">
        <f>VLOOKUP(F5,'[1]WIS Team Info'!$B$3:$E$62,2,FALSE)</f>
        <v>Robot Casserole</v>
      </c>
      <c r="G6" s="63" t="str">
        <f>VLOOKUP(G5,'[1]WIS Team Info'!$B$3:$E$62,2,FALSE)</f>
        <v>N.E.W. Apple Corps Robotics</v>
      </c>
      <c r="H6" s="63" t="str">
        <f>VLOOKUP(H5,'[1]WIS Team Info'!$B$3:$E$62,2,FALSE)</f>
        <v>Rocket Robotics</v>
      </c>
      <c r="I6" s="62"/>
      <c r="J6" s="63"/>
      <c r="R6" s="64"/>
    </row>
    <row r="7" spans="1:54" s="68" customFormat="1" ht="21" x14ac:dyDescent="0.35">
      <c r="B7" s="69" t="s">
        <v>236</v>
      </c>
      <c r="C7" s="70">
        <f t="shared" ref="C7:H7" si="0">SUM(C9+C11+C13+C15+C17)</f>
        <v>29.5</v>
      </c>
      <c r="D7" s="70">
        <f t="shared" si="0"/>
        <v>36.5</v>
      </c>
      <c r="E7" s="70">
        <f t="shared" si="0"/>
        <v>3</v>
      </c>
      <c r="F7" s="70">
        <f t="shared" si="0"/>
        <v>57</v>
      </c>
      <c r="G7" s="70">
        <f t="shared" si="0"/>
        <v>41.833333333333329</v>
      </c>
      <c r="H7" s="70">
        <f t="shared" si="0"/>
        <v>15.75</v>
      </c>
      <c r="I7" s="71">
        <f>SUM(C9:E9)+(IF((SUM(C7:E7)-SUM(C9:E9)-SUM(F8:H8))&lt;0,30,(SUM(C7:E7)-SUM(C9:E9)-SUM(F8:H8))))</f>
        <v>59.25</v>
      </c>
      <c r="J7" s="71">
        <f>SUM(F9:H9)+(IF((SUM(F7:H7)-SUM(F9:H9)-SUM(C8:E8))&lt;0,30,(SUM(F7:H7)-SUM(F9:H9)-SUM(C8:E8))))</f>
        <v>47.083333333333329</v>
      </c>
      <c r="R7" s="72"/>
    </row>
    <row r="8" spans="1:54" s="68" customFormat="1" ht="21" x14ac:dyDescent="0.35">
      <c r="B8" s="69" t="s">
        <v>237</v>
      </c>
      <c r="C8" s="70">
        <f>C19</f>
        <v>45</v>
      </c>
      <c r="D8" s="70">
        <f t="shared" ref="D8:H8" si="1">D19</f>
        <v>12.5</v>
      </c>
      <c r="E8" s="70">
        <f t="shared" si="1"/>
        <v>10</v>
      </c>
      <c r="F8" s="70">
        <f>F19</f>
        <v>65</v>
      </c>
      <c r="G8" s="70">
        <f t="shared" si="1"/>
        <v>16.666666666666668</v>
      </c>
      <c r="H8" s="70">
        <f t="shared" si="1"/>
        <v>7.5</v>
      </c>
      <c r="I8" s="71"/>
      <c r="J8" s="71"/>
      <c r="R8" s="72"/>
    </row>
    <row r="9" spans="1:54" s="73" customFormat="1" ht="15.75" x14ac:dyDescent="0.25">
      <c r="B9" s="74" t="s">
        <v>238</v>
      </c>
      <c r="C9" s="75">
        <f>VLOOKUP(C$5,'[1]Match Pivot'!$A$5:$P$65,2,FALSE)</f>
        <v>18.75</v>
      </c>
      <c r="D9" s="75">
        <f>VLOOKUP(D$5,'[1]Match Pivot'!$A$5:$P$65,2,FALSE)</f>
        <v>7.5</v>
      </c>
      <c r="E9" s="75">
        <f>VLOOKUP(E$5,'[1]Match Pivot'!$A$5:$P$65,2,FALSE)</f>
        <v>3</v>
      </c>
      <c r="F9" s="75">
        <f>VLOOKUP(F$5,'[1]Match Pivot'!$A$5:$P$65,2,FALSE)</f>
        <v>16.666666666666668</v>
      </c>
      <c r="G9" s="75">
        <f>VLOOKUP(G$5,'[1]Match Pivot'!$A$5:$P$65,2,FALSE)</f>
        <v>12.5</v>
      </c>
      <c r="H9" s="75">
        <f>VLOOKUP(H$5,'[1]Match Pivot'!$A$5:$P$65,2,FALSE)</f>
        <v>0</v>
      </c>
      <c r="R9" s="76"/>
    </row>
    <row r="10" spans="1:54" s="77" customFormat="1" ht="15.75" x14ac:dyDescent="0.25">
      <c r="B10" s="78" t="s">
        <v>239</v>
      </c>
      <c r="C10" s="79">
        <f>VLOOKUP(C$5,'[1]Match Pivot'!$A$5:$P$65,3,FALSE)</f>
        <v>0.75</v>
      </c>
      <c r="D10" s="79">
        <f>VLOOKUP(D$5,'[1]Match Pivot'!$A$5:$P$65,3,FALSE)</f>
        <v>0.3</v>
      </c>
      <c r="E10" s="79">
        <f>VLOOKUP(E$5,'[1]Match Pivot'!$A$5:$P$65,3,FALSE)</f>
        <v>0.12000000000000002</v>
      </c>
      <c r="F10" s="79">
        <f>VLOOKUP(F$5,'[1]Match Pivot'!$A$5:$P$65,3,FALSE)</f>
        <v>0.66666666666666663</v>
      </c>
      <c r="G10" s="79">
        <f>VLOOKUP(G$5,'[1]Match Pivot'!$A$5:$P$65,3,FALSE)</f>
        <v>0.5</v>
      </c>
      <c r="H10" s="79">
        <f>VLOOKUP(H$5,'[1]Match Pivot'!$A$5:$P$65,3,FALSE)</f>
        <v>0</v>
      </c>
      <c r="R10" s="80"/>
    </row>
    <row r="11" spans="1:54" s="81" customFormat="1" ht="15.75" x14ac:dyDescent="0.25">
      <c r="B11" s="74" t="s">
        <v>240</v>
      </c>
      <c r="C11" s="75">
        <f>VLOOKUP(C$5,'[1]Match Pivot'!$A$5:$P$65,4,FALSE)</f>
        <v>0.75</v>
      </c>
      <c r="D11" s="75">
        <f>VLOOKUP(D$5,'[1]Match Pivot'!$A$5:$P$65,4,FALSE)</f>
        <v>6.5</v>
      </c>
      <c r="E11" s="75">
        <f>VLOOKUP(E$5,'[1]Match Pivot'!$A$5:$P$65,4,FALSE)</f>
        <v>0</v>
      </c>
      <c r="F11" s="75">
        <f>VLOOKUP(F$5,'[1]Match Pivot'!$A$5:$P$65,4,FALSE)</f>
        <v>0.33333333333333331</v>
      </c>
      <c r="G11" s="75">
        <f>VLOOKUP(G$5,'[1]Match Pivot'!$A$5:$P$65,4,FALSE)</f>
        <v>4.333333333333333</v>
      </c>
      <c r="H11" s="75">
        <f>VLOOKUP(H$5,'[1]Match Pivot'!$A$5:$P$65,4,FALSE)</f>
        <v>0.75</v>
      </c>
      <c r="R11" s="82"/>
    </row>
    <row r="12" spans="1:54" s="83" customFormat="1" ht="15.75" x14ac:dyDescent="0.25">
      <c r="A12" s="77"/>
      <c r="B12" s="78" t="s">
        <v>241</v>
      </c>
      <c r="C12" s="79">
        <f>VLOOKUP(C$5,'[1]Match Pivot'!$A$5:$P$65,5,FALSE)</f>
        <v>0.24571938901207191</v>
      </c>
      <c r="D12" s="79">
        <f>VLOOKUP(D$5,'[1]Match Pivot'!$A$5:$P$65,5,FALSE)</f>
        <v>0.44620310245310241</v>
      </c>
      <c r="E12" s="79">
        <f>VLOOKUP(E$5,'[1]Match Pivot'!$A$5:$P$65,5,FALSE)</f>
        <v>0</v>
      </c>
      <c r="F12" s="79">
        <f>VLOOKUP(F$5,'[1]Match Pivot'!$A$5:$P$65,5,FALSE)</f>
        <v>0.47835497835497831</v>
      </c>
      <c r="G12" s="79">
        <f>VLOOKUP(G$5,'[1]Match Pivot'!$A$5:$P$65,5,FALSE)</f>
        <v>0.60648148148148151</v>
      </c>
      <c r="H12" s="79">
        <f>VLOOKUP(H$5,'[1]Match Pivot'!$A$5:$P$65,5,FALSE)</f>
        <v>0.43055555555555552</v>
      </c>
      <c r="R12" s="84"/>
    </row>
    <row r="13" spans="1:54" s="85" customFormat="1" ht="15.75" x14ac:dyDescent="0.25">
      <c r="B13" s="74" t="s">
        <v>242</v>
      </c>
      <c r="C13" s="75">
        <f>VLOOKUP(C$5,'[1]Match Pivot'!$A$5:$P$65,6,FALSE)</f>
        <v>7.5</v>
      </c>
      <c r="D13" s="75">
        <f>VLOOKUP(D$5,'[1]Match Pivot'!$A$5:$P$65,6,FALSE)</f>
        <v>20</v>
      </c>
      <c r="E13" s="75">
        <f>VLOOKUP(E$5,'[1]Match Pivot'!$A$5:$P$65,6,FALSE)</f>
        <v>0</v>
      </c>
      <c r="F13" s="75">
        <f>VLOOKUP(F$5,'[1]Match Pivot'!$A$5:$P$65,6,FALSE)</f>
        <v>23.333333333333332</v>
      </c>
      <c r="G13" s="75">
        <f>VLOOKUP(G$5,'[1]Match Pivot'!$A$5:$P$65,6,FALSE)</f>
        <v>20</v>
      </c>
      <c r="H13" s="75">
        <f>VLOOKUP(H$5,'[1]Match Pivot'!$A$5:$P$65,6,FALSE)</f>
        <v>12.5</v>
      </c>
      <c r="R13" s="86"/>
    </row>
    <row r="14" spans="1:54" s="83" customFormat="1" ht="15.75" x14ac:dyDescent="0.25">
      <c r="B14" s="78" t="s">
        <v>243</v>
      </c>
      <c r="C14" s="79">
        <f>VLOOKUP(C$5,'[1]Match Pivot'!$A$5:$P$65,7,FALSE)</f>
        <v>0</v>
      </c>
      <c r="D14" s="79">
        <f>VLOOKUP(D$5,'[1]Match Pivot'!$A$5:$P$65,7,FALSE)</f>
        <v>0.25</v>
      </c>
      <c r="E14" s="79">
        <f>VLOOKUP(E$5,'[1]Match Pivot'!$A$5:$P$65,7,FALSE)</f>
        <v>0</v>
      </c>
      <c r="F14" s="79">
        <f>VLOOKUP(F$5,'[1]Match Pivot'!$A$5:$P$65,7,FALSE)</f>
        <v>0</v>
      </c>
      <c r="G14" s="79">
        <f>VLOOKUP(G$5,'[1]Match Pivot'!$A$5:$P$65,7,FALSE)</f>
        <v>0</v>
      </c>
      <c r="H14" s="79">
        <f>VLOOKUP(H$5,'[1]Match Pivot'!$A$5:$P$65,7,FALSE)</f>
        <v>0</v>
      </c>
      <c r="R14" s="84"/>
    </row>
    <row r="15" spans="1:54" s="85" customFormat="1" ht="15.75" x14ac:dyDescent="0.25">
      <c r="B15" s="74" t="s">
        <v>244</v>
      </c>
      <c r="C15" s="75">
        <f>VLOOKUP(C$5,'[1]Match Pivot'!$A$5:$P$65,8,FALSE)</f>
        <v>2.5</v>
      </c>
      <c r="D15" s="75">
        <f>VLOOKUP(D$5,'[1]Match Pivot'!$A$5:$P$65,8,FALSE)</f>
        <v>2.5</v>
      </c>
      <c r="E15" s="75">
        <f>VLOOKUP(E$5,'[1]Match Pivot'!$A$5:$P$65,8,FALSE)</f>
        <v>0</v>
      </c>
      <c r="F15" s="75">
        <f>VLOOKUP(F$5,'[1]Match Pivot'!$A$5:$P$65,8,FALSE)</f>
        <v>16.666666666666668</v>
      </c>
      <c r="G15" s="75">
        <f>VLOOKUP(G$5,'[1]Match Pivot'!$A$5:$P$65,8,FALSE)</f>
        <v>5</v>
      </c>
      <c r="H15" s="75">
        <f>VLOOKUP(H$5,'[1]Match Pivot'!$A$5:$P$65,8,FALSE)</f>
        <v>2.5</v>
      </c>
      <c r="R15" s="86"/>
    </row>
    <row r="16" spans="1:54" s="83" customFormat="1" ht="15.75" x14ac:dyDescent="0.25">
      <c r="B16" s="78" t="s">
        <v>245</v>
      </c>
      <c r="C16" s="79">
        <f>VLOOKUP(C$5,'[1]Match Pivot'!$A$5:$P$65,9,FALSE)</f>
        <v>8.3333333333333329E-2</v>
      </c>
      <c r="D16" s="79">
        <f>VLOOKUP(D$5,'[1]Match Pivot'!$A$5:$P$65,9,FALSE)</f>
        <v>0.25</v>
      </c>
      <c r="E16" s="79">
        <f>VLOOKUP(E$5,'[1]Match Pivot'!$A$5:$P$65,9,FALSE)</f>
        <v>0</v>
      </c>
      <c r="F16" s="79">
        <f>VLOOKUP(F$5,'[1]Match Pivot'!$A$5:$P$65,9,FALSE)</f>
        <v>0.72222222222222221</v>
      </c>
      <c r="G16" s="79">
        <f>VLOOKUP(G$5,'[1]Match Pivot'!$A$5:$P$65,9,FALSE)</f>
        <v>0.16666666666666666</v>
      </c>
      <c r="H16" s="79">
        <f>VLOOKUP(H$5,'[1]Match Pivot'!$A$5:$P$65,9,FALSE)</f>
        <v>0.25</v>
      </c>
      <c r="R16" s="84"/>
    </row>
    <row r="17" spans="2:18" s="81" customFormat="1" ht="15.75" hidden="1" x14ac:dyDescent="0.25">
      <c r="B17" s="74" t="s">
        <v>246</v>
      </c>
      <c r="C17" s="75">
        <f>VLOOKUP(C$5,'[1]Match Pivot'!$A$5:$P$65,10,FALSE)</f>
        <v>0</v>
      </c>
      <c r="D17" s="75">
        <f>VLOOKUP(D$5,'[1]Match Pivot'!$A$5:$P$65,10,FALSE)</f>
        <v>0</v>
      </c>
      <c r="E17" s="75">
        <f>VLOOKUP(E$5,'[1]Match Pivot'!$A$5:$P$65,10,FALSE)</f>
        <v>0</v>
      </c>
      <c r="F17" s="75">
        <f>VLOOKUP(F$5,'[1]Match Pivot'!$A$5:$P$65,10,FALSE)</f>
        <v>0</v>
      </c>
      <c r="G17" s="75">
        <f>VLOOKUP(G$5,'[1]Match Pivot'!$A$5:$P$65,10,FALSE)</f>
        <v>0</v>
      </c>
      <c r="H17" s="75">
        <f>VLOOKUP(H$5,'[1]Match Pivot'!$A$5:$P$65,10,FALSE)</f>
        <v>0</v>
      </c>
      <c r="R17" s="82"/>
    </row>
    <row r="18" spans="2:18" s="59" customFormat="1" ht="15.75" hidden="1" x14ac:dyDescent="0.25">
      <c r="B18" s="87" t="s">
        <v>247</v>
      </c>
      <c r="C18" s="88">
        <f>VLOOKUP(C$5,'[1]Match Pivot'!$A$5:$P$65,11,FALSE)</f>
        <v>0</v>
      </c>
      <c r="D18" s="88">
        <f>VLOOKUP(D$5,'[1]Match Pivot'!$A$5:$P$65,11,FALSE)</f>
        <v>0</v>
      </c>
      <c r="E18" s="88">
        <f>VLOOKUP(E$5,'[1]Match Pivot'!$A$5:$P$65,11,FALSE)</f>
        <v>0</v>
      </c>
      <c r="F18" s="88">
        <f>VLOOKUP(F$5,'[1]Match Pivot'!$A$5:$P$65,11,FALSE)</f>
        <v>0</v>
      </c>
      <c r="G18" s="88">
        <f>VLOOKUP(G$5,'[1]Match Pivot'!$A$5:$P$65,11,FALSE)</f>
        <v>0</v>
      </c>
      <c r="H18" s="88">
        <f>VLOOKUP(H$5,'[1]Match Pivot'!$A$5:$P$65,11,FALSE)</f>
        <v>0</v>
      </c>
      <c r="R18" s="64"/>
    </row>
    <row r="19" spans="2:18" s="81" customFormat="1" ht="15.75" x14ac:dyDescent="0.25">
      <c r="B19" s="74" t="s">
        <v>248</v>
      </c>
      <c r="C19" s="75">
        <f>VLOOKUP(C$5,'[1]Match Pivot'!$A$5:$P$65,12,FALSE)</f>
        <v>45</v>
      </c>
      <c r="D19" s="75">
        <f>VLOOKUP(D$5,'[1]Match Pivot'!$A$5:$P$65,12,FALSE)</f>
        <v>12.5</v>
      </c>
      <c r="E19" s="75">
        <f>VLOOKUP(E$5,'[1]Match Pivot'!$A$5:$P$65,12,FALSE)</f>
        <v>10</v>
      </c>
      <c r="F19" s="75">
        <f>VLOOKUP(F$5,'[1]Match Pivot'!$A$5:$P$65,12,FALSE)</f>
        <v>65</v>
      </c>
      <c r="G19" s="75">
        <f>VLOOKUP(G$5,'[1]Match Pivot'!$A$5:$P$65,12,FALSE)</f>
        <v>16.666666666666668</v>
      </c>
      <c r="H19" s="75">
        <f>VLOOKUP(H$5,'[1]Match Pivot'!$A$5:$P$65,12,FALSE)</f>
        <v>7.5</v>
      </c>
      <c r="R19" s="82"/>
    </row>
    <row r="20" spans="2:18" s="59" customFormat="1" ht="15.75" x14ac:dyDescent="0.25">
      <c r="B20" s="87" t="s">
        <v>249</v>
      </c>
      <c r="C20" s="88">
        <f>VLOOKUP(C$5,'[1]Match Pivot'!$A$5:$P$65,13,FALSE)</f>
        <v>0.1607142857142857</v>
      </c>
      <c r="D20" s="88">
        <f>VLOOKUP(D$5,'[1]Match Pivot'!$A$5:$P$65,13,FALSE)</f>
        <v>4.4642857142857137E-2</v>
      </c>
      <c r="E20" s="88">
        <f>VLOOKUP(E$5,'[1]Match Pivot'!$A$5:$P$65,13,FALSE)</f>
        <v>3.5714285714285712E-2</v>
      </c>
      <c r="F20" s="88">
        <f>VLOOKUP(F$5,'[1]Match Pivot'!$A$5:$P$65,13,FALSE)</f>
        <v>0.32142857142857145</v>
      </c>
      <c r="G20" s="88">
        <f>VLOOKUP(G$5,'[1]Match Pivot'!$A$5:$P$65,13,FALSE)</f>
        <v>5.9523809523809514E-2</v>
      </c>
      <c r="H20" s="88">
        <f>VLOOKUP(H$5,'[1]Match Pivot'!$A$5:$P$65,13,FALSE)</f>
        <v>2.6785714285714284E-2</v>
      </c>
      <c r="R20" s="64"/>
    </row>
    <row r="21" spans="2:18" s="81" customFormat="1" ht="18" customHeight="1" x14ac:dyDescent="0.25">
      <c r="B21" s="74" t="s">
        <v>250</v>
      </c>
      <c r="C21" s="89">
        <f>VLOOKUP(C$5,'[1]Match Pivot'!$A$5:$P$65,14,FALSE)</f>
        <v>0</v>
      </c>
      <c r="D21" s="89">
        <f>VLOOKUP(D$5,'[1]Match Pivot'!$A$5:$P$65,14,FALSE)</f>
        <v>0</v>
      </c>
      <c r="E21" s="89">
        <f>VLOOKUP(E$5,'[1]Match Pivot'!$A$5:$P$65,14,FALSE)</f>
        <v>0</v>
      </c>
      <c r="F21" s="89">
        <f>VLOOKUP(F$5,'[1]Match Pivot'!$A$5:$P$65,14,FALSE)</f>
        <v>0</v>
      </c>
      <c r="G21" s="89">
        <f>VLOOKUP(G$5,'[1]Match Pivot'!$A$5:$P$65,14,FALSE)</f>
        <v>0</v>
      </c>
      <c r="H21" s="89">
        <f>VLOOKUP(H$5,'[1]Match Pivot'!$A$5:$P$65,14,FALSE)</f>
        <v>0</v>
      </c>
      <c r="R21" s="82"/>
    </row>
    <row r="22" spans="2:18" s="59" customFormat="1" ht="18" customHeight="1" x14ac:dyDescent="0.25">
      <c r="B22" s="87" t="s">
        <v>251</v>
      </c>
      <c r="C22" s="88">
        <f>VLOOKUP(C$5,'[1]Match Pivot'!$A$5:$P$65,15,FALSE)</f>
        <v>0</v>
      </c>
      <c r="D22" s="88">
        <f>VLOOKUP(D$5,'[1]Match Pivot'!$A$5:$P$65,15,FALSE)</f>
        <v>0</v>
      </c>
      <c r="E22" s="88">
        <f>VLOOKUP(E$5,'[1]Match Pivot'!$A$5:$P$65,15,FALSE)</f>
        <v>0</v>
      </c>
      <c r="F22" s="88">
        <f>VLOOKUP(F$5,'[1]Match Pivot'!$A$5:$P$65,15,FALSE)</f>
        <v>0</v>
      </c>
      <c r="G22" s="88">
        <f>VLOOKUP(G$5,'[1]Match Pivot'!$A$5:$P$65,15,FALSE)</f>
        <v>0</v>
      </c>
      <c r="H22" s="88">
        <f>VLOOKUP(H$5,'[1]Match Pivot'!$A$5:$P$65,15,FALSE)</f>
        <v>0</v>
      </c>
      <c r="R22" s="64"/>
    </row>
    <row r="23" spans="2:18" s="77" customFormat="1" ht="18" customHeight="1" x14ac:dyDescent="0.25">
      <c r="B23" s="78" t="s">
        <v>252</v>
      </c>
      <c r="C23" s="79">
        <f>VLOOKUP(C$5,'[1]Match Pivot'!$A$5:$P$65,16,FALSE)</f>
        <v>0</v>
      </c>
      <c r="D23" s="79">
        <f>VLOOKUP(D$5,'[1]Match Pivot'!$A$5:$P$65,16,FALSE)</f>
        <v>0</v>
      </c>
      <c r="E23" s="79">
        <f>VLOOKUP(E$5,'[1]Match Pivot'!$A$5:$P$65,16,FALSE)</f>
        <v>0</v>
      </c>
      <c r="F23" s="79">
        <f>VLOOKUP(F$5,'[1]Match Pivot'!$A$5:$P$65,16,FALSE)</f>
        <v>0</v>
      </c>
      <c r="G23" s="79">
        <f>VLOOKUP(G$5,'[1]Match Pivot'!$A$5:$P$65,16,FALSE)</f>
        <v>0</v>
      </c>
      <c r="H23" s="79">
        <f>VLOOKUP(H$5,'[1]Match Pivot'!$A$5:$P$65,16,FALSE)</f>
        <v>0</v>
      </c>
      <c r="R23" s="80"/>
    </row>
  </sheetData>
  <conditionalFormatting sqref="C3:H3">
    <cfRule type="expression" dxfId="1" priority="2">
      <formula>"B1=Practice"</formula>
    </cfRule>
  </conditionalFormatting>
  <conditionalFormatting sqref="C3">
    <cfRule type="expression" dxfId="0" priority="1">
      <formula>"isblank($C$2)"</formula>
    </cfRule>
  </conditionalFormatting>
  <dataValidations count="1">
    <dataValidation type="list" allowBlank="1" showInputMessage="1" showErrorMessage="1" sqref="B1">
      <formula1>$R$2:$R$4</formula1>
    </dataValidation>
  </dataValidations>
  <printOptions horizontalCentered="1"/>
  <pageMargins left="0.25" right="0.25" top="0.75" bottom="0.75" header="0.3" footer="0.3"/>
  <pageSetup scale="60" orientation="landscape"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S54"/>
  <sheetViews>
    <sheetView topLeftCell="Z1" workbookViewId="0">
      <selection activeCell="AB3" sqref="AB3"/>
    </sheetView>
  </sheetViews>
  <sheetFormatPr defaultRowHeight="15" x14ac:dyDescent="0.25"/>
  <sheetData>
    <row r="1" spans="1:45"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row>
    <row r="2" spans="1:45" x14ac:dyDescent="0.25">
      <c r="A2" t="s">
        <v>253</v>
      </c>
      <c r="B2" t="s">
        <v>254</v>
      </c>
      <c r="C2" t="s">
        <v>255</v>
      </c>
      <c r="D2" t="s">
        <v>256</v>
      </c>
      <c r="E2" t="s">
        <v>257</v>
      </c>
      <c r="F2" t="s">
        <v>26</v>
      </c>
      <c r="G2" t="s">
        <v>258</v>
      </c>
      <c r="H2" t="s">
        <v>259</v>
      </c>
      <c r="I2" t="s">
        <v>27</v>
      </c>
      <c r="J2" t="s">
        <v>260</v>
      </c>
      <c r="K2" t="s">
        <v>261</v>
      </c>
      <c r="L2" t="s">
        <v>262</v>
      </c>
      <c r="M2" t="s">
        <v>263</v>
      </c>
      <c r="N2" t="s">
        <v>264</v>
      </c>
      <c r="O2" t="s">
        <v>265</v>
      </c>
      <c r="P2" t="s">
        <v>266</v>
      </c>
      <c r="Q2" t="s">
        <v>267</v>
      </c>
      <c r="R2" t="s">
        <v>268</v>
      </c>
      <c r="S2" t="s">
        <v>269</v>
      </c>
      <c r="T2" t="s">
        <v>270</v>
      </c>
      <c r="U2" t="s">
        <v>271</v>
      </c>
      <c r="V2" t="s">
        <v>272</v>
      </c>
      <c r="W2" t="s">
        <v>273</v>
      </c>
      <c r="X2" t="s">
        <v>274</v>
      </c>
      <c r="Y2" t="s">
        <v>275</v>
      </c>
      <c r="Z2" t="s">
        <v>276</v>
      </c>
      <c r="AA2" t="s">
        <v>277</v>
      </c>
      <c r="AB2" t="s">
        <v>278</v>
      </c>
      <c r="AC2" t="s">
        <v>279</v>
      </c>
      <c r="AD2" t="s">
        <v>280</v>
      </c>
      <c r="AE2" t="s">
        <v>281</v>
      </c>
      <c r="AF2" t="s">
        <v>282</v>
      </c>
      <c r="AG2" t="s">
        <v>283</v>
      </c>
      <c r="AH2" t="s">
        <v>284</v>
      </c>
      <c r="AI2" t="s">
        <v>285</v>
      </c>
      <c r="AJ2" t="s">
        <v>286</v>
      </c>
      <c r="AK2" t="s">
        <v>287</v>
      </c>
      <c r="AL2" t="s">
        <v>288</v>
      </c>
      <c r="AM2" t="s">
        <v>289</v>
      </c>
      <c r="AN2" t="s">
        <v>290</v>
      </c>
      <c r="AO2" t="s">
        <v>291</v>
      </c>
      <c r="AP2" t="s">
        <v>292</v>
      </c>
      <c r="AQ2" t="s">
        <v>293</v>
      </c>
      <c r="AR2" t="s">
        <v>294</v>
      </c>
      <c r="AS2" t="s">
        <v>28</v>
      </c>
    </row>
    <row r="10" spans="1:45" x14ac:dyDescent="0.25">
      <c r="A10" t="s">
        <v>253</v>
      </c>
    </row>
    <row r="11" spans="1:45" x14ac:dyDescent="0.25">
      <c r="A11" t="s">
        <v>254</v>
      </c>
    </row>
    <row r="12" spans="1:45" x14ac:dyDescent="0.25">
      <c r="A12" t="s">
        <v>255</v>
      </c>
    </row>
    <row r="13" spans="1:45" x14ac:dyDescent="0.25">
      <c r="A13" t="s">
        <v>256</v>
      </c>
    </row>
    <row r="14" spans="1:45" x14ac:dyDescent="0.25">
      <c r="A14" t="s">
        <v>257</v>
      </c>
    </row>
    <row r="15" spans="1:45" x14ac:dyDescent="0.25">
      <c r="A15" t="s">
        <v>26</v>
      </c>
    </row>
    <row r="16" spans="1:45" x14ac:dyDescent="0.25">
      <c r="A16" t="s">
        <v>258</v>
      </c>
    </row>
    <row r="17" spans="1:1" x14ac:dyDescent="0.25">
      <c r="A17" t="s">
        <v>259</v>
      </c>
    </row>
    <row r="18" spans="1:1" x14ac:dyDescent="0.25">
      <c r="A18" t="s">
        <v>27</v>
      </c>
    </row>
    <row r="19" spans="1:1" x14ac:dyDescent="0.25">
      <c r="A19" t="s">
        <v>260</v>
      </c>
    </row>
    <row r="20" spans="1:1" x14ac:dyDescent="0.25">
      <c r="A20" t="s">
        <v>261</v>
      </c>
    </row>
    <row r="21" spans="1:1" x14ac:dyDescent="0.25">
      <c r="A21" t="s">
        <v>262</v>
      </c>
    </row>
    <row r="22" spans="1:1" x14ac:dyDescent="0.25">
      <c r="A22" t="s">
        <v>263</v>
      </c>
    </row>
    <row r="23" spans="1:1" x14ac:dyDescent="0.25">
      <c r="A23" t="s">
        <v>264</v>
      </c>
    </row>
    <row r="24" spans="1:1" x14ac:dyDescent="0.25">
      <c r="A24" t="s">
        <v>265</v>
      </c>
    </row>
    <row r="25" spans="1:1" x14ac:dyDescent="0.25">
      <c r="A25" t="s">
        <v>266</v>
      </c>
    </row>
    <row r="26" spans="1:1" x14ac:dyDescent="0.25">
      <c r="A26" t="s">
        <v>267</v>
      </c>
    </row>
    <row r="27" spans="1:1" x14ac:dyDescent="0.25">
      <c r="A27" t="s">
        <v>268</v>
      </c>
    </row>
    <row r="28" spans="1:1" x14ac:dyDescent="0.25">
      <c r="A28" t="s">
        <v>269</v>
      </c>
    </row>
    <row r="29" spans="1:1" x14ac:dyDescent="0.25">
      <c r="A29" t="s">
        <v>270</v>
      </c>
    </row>
    <row r="30" spans="1:1" x14ac:dyDescent="0.25">
      <c r="A30" t="s">
        <v>271</v>
      </c>
    </row>
    <row r="31" spans="1:1" x14ac:dyDescent="0.25">
      <c r="A31" t="s">
        <v>272</v>
      </c>
    </row>
    <row r="32" spans="1:1" x14ac:dyDescent="0.25">
      <c r="A32" t="s">
        <v>273</v>
      </c>
    </row>
    <row r="33" spans="1:1" x14ac:dyDescent="0.25">
      <c r="A33" t="s">
        <v>274</v>
      </c>
    </row>
    <row r="34" spans="1:1" x14ac:dyDescent="0.25">
      <c r="A34" t="s">
        <v>275</v>
      </c>
    </row>
    <row r="35" spans="1:1" x14ac:dyDescent="0.25">
      <c r="A35" t="s">
        <v>276</v>
      </c>
    </row>
    <row r="36" spans="1:1" x14ac:dyDescent="0.25">
      <c r="A36" t="s">
        <v>277</v>
      </c>
    </row>
    <row r="37" spans="1:1" x14ac:dyDescent="0.25">
      <c r="A37" t="s">
        <v>278</v>
      </c>
    </row>
    <row r="38" spans="1:1" x14ac:dyDescent="0.25">
      <c r="A38" t="s">
        <v>279</v>
      </c>
    </row>
    <row r="39" spans="1:1" x14ac:dyDescent="0.25">
      <c r="A39" t="s">
        <v>280</v>
      </c>
    </row>
    <row r="40" spans="1:1" x14ac:dyDescent="0.25">
      <c r="A40" t="s">
        <v>281</v>
      </c>
    </row>
    <row r="41" spans="1:1" x14ac:dyDescent="0.25">
      <c r="A41" t="s">
        <v>282</v>
      </c>
    </row>
    <row r="42" spans="1:1" x14ac:dyDescent="0.25">
      <c r="A42" t="s">
        <v>283</v>
      </c>
    </row>
    <row r="43" spans="1:1" x14ac:dyDescent="0.25">
      <c r="A43" t="s">
        <v>284</v>
      </c>
    </row>
    <row r="44" spans="1:1" x14ac:dyDescent="0.25">
      <c r="A44" t="s">
        <v>285</v>
      </c>
    </row>
    <row r="45" spans="1:1" x14ac:dyDescent="0.25">
      <c r="A45" t="s">
        <v>286</v>
      </c>
    </row>
    <row r="46" spans="1:1" x14ac:dyDescent="0.25">
      <c r="A46" t="s">
        <v>287</v>
      </c>
    </row>
    <row r="47" spans="1:1" x14ac:dyDescent="0.25">
      <c r="A47" t="s">
        <v>288</v>
      </c>
    </row>
    <row r="48" spans="1:1" x14ac:dyDescent="0.25">
      <c r="A48" t="s">
        <v>289</v>
      </c>
    </row>
    <row r="49" spans="1:1" x14ac:dyDescent="0.25">
      <c r="A49" t="s">
        <v>290</v>
      </c>
    </row>
    <row r="50" spans="1:1" x14ac:dyDescent="0.25">
      <c r="A50" t="s">
        <v>291</v>
      </c>
    </row>
    <row r="51" spans="1:1" x14ac:dyDescent="0.25">
      <c r="A51" t="s">
        <v>292</v>
      </c>
    </row>
    <row r="52" spans="1:1" x14ac:dyDescent="0.25">
      <c r="A52" t="s">
        <v>293</v>
      </c>
    </row>
    <row r="53" spans="1:1" x14ac:dyDescent="0.25">
      <c r="A53" t="s">
        <v>294</v>
      </c>
    </row>
    <row r="54" spans="1:1" x14ac:dyDescent="0.25">
      <c r="A54" t="s">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Weightings</vt:lpstr>
      <vt:lpstr>Slicers</vt:lpstr>
      <vt:lpstr>Sheet5</vt:lpstr>
      <vt:lpstr>Data</vt:lpstr>
      <vt:lpstr>CIR Info</vt:lpstr>
      <vt:lpstr>Match Basics</vt:lpstr>
      <vt:lpstr>import fields</vt:lpstr>
      <vt:lpstr>'Match Basics'!Print_Area</vt:lpstr>
    </vt:vector>
  </TitlesOfParts>
  <Company>Caterpillar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delante</dc:creator>
  <cp:lastModifiedBy>Dan Thune</cp:lastModifiedBy>
  <dcterms:created xsi:type="dcterms:W3CDTF">2016-03-02T01:03:49Z</dcterms:created>
  <dcterms:modified xsi:type="dcterms:W3CDTF">2016-03-12T20:45:30Z</dcterms:modified>
</cp:coreProperties>
</file>